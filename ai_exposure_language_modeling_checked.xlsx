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9c251fc57864fd2/Documents/AI-Risk-Opportunity-Platform/data/processed/"/>
    </mc:Choice>
  </mc:AlternateContent>
  <xr:revisionPtr revIDLastSave="0" documentId="8_{314A47C1-258C-49F4-B114-2B58D6E3D4C6}" xr6:coauthVersionLast="47" xr6:coauthVersionMax="47" xr10:uidLastSave="{00000000-0000-0000-0000-000000000000}"/>
  <bookViews>
    <workbookView xWindow="-96" yWindow="0" windowWidth="11712" windowHeight="12336" activeTab="1" xr2:uid="{9824E2AC-0DAC-495A-A892-B85A68B2F47B}"/>
  </bookViews>
  <sheets>
    <sheet name="LM AIOE" sheetId="1" r:id="rId1"/>
    <sheet name="LM AIIE" sheetId="2" r:id="rId2"/>
    <sheet name="QC_Check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2" l="1" a="1"/>
  <c r="G4" i="2" s="1"/>
  <c r="G5" i="1" a="1"/>
  <c r="G5" i="1" s="1"/>
  <c r="G4" i="1" a="1"/>
  <c r="G4" i="1" s="1"/>
  <c r="G3" i="2"/>
  <c r="G2" i="2"/>
  <c r="B5" i="3" a="1"/>
  <c r="B5" i="3" s="1"/>
  <c r="B4" i="3" a="1"/>
  <c r="B4" i="3" s="1"/>
  <c r="B3" i="3" a="1"/>
  <c r="B3" i="3" s="1"/>
  <c r="B2" i="3" a="1"/>
  <c r="B2" i="3" s="1"/>
  <c r="E10" i="2"/>
  <c r="E7" i="2"/>
  <c r="E4" i="2"/>
  <c r="E8" i="1"/>
  <c r="E7" i="1"/>
  <c r="E6" i="1"/>
  <c r="E11" i="2"/>
  <c r="E9" i="2"/>
  <c r="E8" i="2"/>
  <c r="E5" i="1"/>
  <c r="E9" i="1"/>
  <c r="E5" i="2"/>
  <c r="E2" i="1"/>
  <c r="E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<sst xmlns="http://schemas.openxmlformats.org/spreadsheetml/2006/main" count="2075" uniqueCount="2066">
  <si>
    <t>11-1011</t>
  </si>
  <si>
    <t>Chief Executives</t>
  </si>
  <si>
    <t>11-1021</t>
  </si>
  <si>
    <t>General and Operations Managers</t>
  </si>
  <si>
    <t>Advertising and Promotions Managers</t>
  </si>
  <si>
    <t>Marketing Managers</t>
  </si>
  <si>
    <t>Sales Managers</t>
  </si>
  <si>
    <t>Public Relations and Fundraising Managers</t>
  </si>
  <si>
    <t>Administrative Services Managers</t>
  </si>
  <si>
    <t>Computer and Information Systems Managers</t>
  </si>
  <si>
    <t>Financial Managers</t>
  </si>
  <si>
    <t>Industrial Production Managers</t>
  </si>
  <si>
    <t>Purchasing Managers</t>
  </si>
  <si>
    <t>Transportation, Storage, and Distribution Managers</t>
  </si>
  <si>
    <t>Compensation and Benefits Managers</t>
  </si>
  <si>
    <t>Human Resources Managers</t>
  </si>
  <si>
    <t>Training and Development Managers</t>
  </si>
  <si>
    <t>Farmers, Ranchers, and Other Agricultural Managers</t>
  </si>
  <si>
    <t>Construction Managers</t>
  </si>
  <si>
    <t>Education Administrators, Preschool and Childcare Center/Program</t>
  </si>
  <si>
    <t>Education Administrators, Elementary and Secondary School</t>
  </si>
  <si>
    <t>Education Administrators, Postsecondary</t>
  </si>
  <si>
    <t>Education Administrators, All Other</t>
  </si>
  <si>
    <t>Architectural and Engineering Managers</t>
  </si>
  <si>
    <t>Food Service Managers</t>
  </si>
  <si>
    <t>Funeral Service Managers</t>
  </si>
  <si>
    <t>Gaming Managers</t>
  </si>
  <si>
    <t>Lodging Managers</t>
  </si>
  <si>
    <t>Medical and Health Services Managers</t>
  </si>
  <si>
    <t>Natural Sciences Managers</t>
  </si>
  <si>
    <t>Postmasters and Mail Superintendents</t>
  </si>
  <si>
    <t>Property, Real Estate, and Community Association Managers</t>
  </si>
  <si>
    <t>Social and Community Service Managers</t>
  </si>
  <si>
    <t>Emergency Management Directors</t>
  </si>
  <si>
    <t>Managers, All Other</t>
  </si>
  <si>
    <t>13-1011</t>
  </si>
  <si>
    <t>Agents and Business Managers of Artists, Performers, and Athletes</t>
  </si>
  <si>
    <t>13-1021</t>
  </si>
  <si>
    <t>Buyers and Purchasing Agents, Farm Products</t>
  </si>
  <si>
    <t>13-1022</t>
  </si>
  <si>
    <t>Wholesale and Retail Buyers, Except Farm Products</t>
  </si>
  <si>
    <t>13-1023</t>
  </si>
  <si>
    <t>Purchasing Agents, Except Wholesale, Retail, and Farm Products</t>
  </si>
  <si>
    <t>13-1031</t>
  </si>
  <si>
    <t>Claims Adjusters, Examiners, and Investigators</t>
  </si>
  <si>
    <t>13-1032</t>
  </si>
  <si>
    <t>Insurance Appraisers, Auto Damage</t>
  </si>
  <si>
    <t>13-1041</t>
  </si>
  <si>
    <t>Compliance Officers</t>
  </si>
  <si>
    <t>13-1051</t>
  </si>
  <si>
    <t>Cost Estimators</t>
  </si>
  <si>
    <t>13-1071</t>
  </si>
  <si>
    <t>Human Resources Specialists</t>
  </si>
  <si>
    <t>13-1074</t>
  </si>
  <si>
    <t>Farm Labor Contractors</t>
  </si>
  <si>
    <t>13-1075</t>
  </si>
  <si>
    <t>Labor Relations Specialists</t>
  </si>
  <si>
    <t>13-1081</t>
  </si>
  <si>
    <t>Logisticians</t>
  </si>
  <si>
    <t>13-1111</t>
  </si>
  <si>
    <t>Management Analysts</t>
  </si>
  <si>
    <t>13-1121</t>
  </si>
  <si>
    <t>Meeting, Convention, and Event Planners</t>
  </si>
  <si>
    <t>13-1131</t>
  </si>
  <si>
    <t>Fundraisers</t>
  </si>
  <si>
    <t>13-1141</t>
  </si>
  <si>
    <t>Compensation, Benefits, and Job Analysis Specialists</t>
  </si>
  <si>
    <t>13-1151</t>
  </si>
  <si>
    <t>Training and Development Specialists</t>
  </si>
  <si>
    <t>13-1161</t>
  </si>
  <si>
    <t>Market Research Analysts and Marketing Specialists</t>
  </si>
  <si>
    <t>13-1199</t>
  </si>
  <si>
    <t>Business Operations Specialists, All Other</t>
  </si>
  <si>
    <t>13-2011</t>
  </si>
  <si>
    <t>Accountants and Auditors</t>
  </si>
  <si>
    <t>13-2021</t>
  </si>
  <si>
    <t>Appraisers and Assessors of Real Estate</t>
  </si>
  <si>
    <t>13-2031</t>
  </si>
  <si>
    <t>Budget Analysts</t>
  </si>
  <si>
    <t>13-2041</t>
  </si>
  <si>
    <t>Credit Analysts</t>
  </si>
  <si>
    <t>13-2051</t>
  </si>
  <si>
    <t>Financial Analysts</t>
  </si>
  <si>
    <t>13-2052</t>
  </si>
  <si>
    <t>Personal Financial Advisors</t>
  </si>
  <si>
    <t>13-2053</t>
  </si>
  <si>
    <t>Insurance Underwriters</t>
  </si>
  <si>
    <t>13-2061</t>
  </si>
  <si>
    <t>Financial Examiners</t>
  </si>
  <si>
    <t>13-2071</t>
  </si>
  <si>
    <t>Credit Counselors</t>
  </si>
  <si>
    <t>13-2072</t>
  </si>
  <si>
    <t>Loan Officers</t>
  </si>
  <si>
    <t>13-2081</t>
  </si>
  <si>
    <t>Tax Examiners and Collectors, and Revenue Agents</t>
  </si>
  <si>
    <t>13-2082</t>
  </si>
  <si>
    <t>Tax Preparers</t>
  </si>
  <si>
    <t>13-2099</t>
  </si>
  <si>
    <t>Financial Specialists, All Other</t>
  </si>
  <si>
    <t>15-1111</t>
  </si>
  <si>
    <t>Computer and Information Research Scientists</t>
  </si>
  <si>
    <t>15-1121</t>
  </si>
  <si>
    <t>Computer Systems Analysts</t>
  </si>
  <si>
    <t>15-1122</t>
  </si>
  <si>
    <t>Information Security Analysts</t>
  </si>
  <si>
    <t>15-1131</t>
  </si>
  <si>
    <t>Computer Programmers</t>
  </si>
  <si>
    <t>15-1132</t>
  </si>
  <si>
    <t>Software Developers, Applications</t>
  </si>
  <si>
    <t>15-1133</t>
  </si>
  <si>
    <t>Software Developers, Systems Software</t>
  </si>
  <si>
    <t>15-1134</t>
  </si>
  <si>
    <t>Web Developers</t>
  </si>
  <si>
    <t>15-1141</t>
  </si>
  <si>
    <t>Database Administrators</t>
  </si>
  <si>
    <t>15-1142</t>
  </si>
  <si>
    <t>Network and Computer Systems Administrators</t>
  </si>
  <si>
    <t>15-1143</t>
  </si>
  <si>
    <t>Computer Network Architects</t>
  </si>
  <si>
    <t>15-1151</t>
  </si>
  <si>
    <t>Computer User Support Specialists</t>
  </si>
  <si>
    <t>15-1152</t>
  </si>
  <si>
    <t>Computer Network Support Specialists</t>
  </si>
  <si>
    <t>15-1199</t>
  </si>
  <si>
    <t>Computer Occupations, All Other</t>
  </si>
  <si>
    <t>15-2011</t>
  </si>
  <si>
    <t>Actuaries</t>
  </si>
  <si>
    <t>15-2021</t>
  </si>
  <si>
    <t>Mathematicians</t>
  </si>
  <si>
    <t>15-2031</t>
  </si>
  <si>
    <t>Operations Research Analysts</t>
  </si>
  <si>
    <t>15-2041</t>
  </si>
  <si>
    <t>Statisticians</t>
  </si>
  <si>
    <t>15-2091</t>
  </si>
  <si>
    <t>Mathematical Technicians</t>
  </si>
  <si>
    <t>17-1011</t>
  </si>
  <si>
    <t>Architects, Except Landscape and Naval</t>
  </si>
  <si>
    <t>17-1012</t>
  </si>
  <si>
    <t>Landscape Architects</t>
  </si>
  <si>
    <t>17-1021</t>
  </si>
  <si>
    <t>Cartographers and Photogrammetrists</t>
  </si>
  <si>
    <t>17-1022</t>
  </si>
  <si>
    <t>Surveyors</t>
  </si>
  <si>
    <t>17-2011</t>
  </si>
  <si>
    <t>Aerospace Engineers</t>
  </si>
  <si>
    <t>17-2021</t>
  </si>
  <si>
    <t>Agricultural Engineers</t>
  </si>
  <si>
    <t>17-2031</t>
  </si>
  <si>
    <t>Biomedical Engineers</t>
  </si>
  <si>
    <t>17-2041</t>
  </si>
  <si>
    <t>Chemical Engineers</t>
  </si>
  <si>
    <t>17-2051</t>
  </si>
  <si>
    <t>Civil Engineers</t>
  </si>
  <si>
    <t>17-2061</t>
  </si>
  <si>
    <t>Computer Hardware Engineers</t>
  </si>
  <si>
    <t>17-2071</t>
  </si>
  <si>
    <t>Electrical Engineers</t>
  </si>
  <si>
    <t>17-2072</t>
  </si>
  <si>
    <t>Electronics Engineers, Except Computer</t>
  </si>
  <si>
    <t>17-2081</t>
  </si>
  <si>
    <t>Environmental Engineers</t>
  </si>
  <si>
    <t>17-2111</t>
  </si>
  <si>
    <t>Health and Safety Engineers, Except Mining Safety Engineers and Inspectors</t>
  </si>
  <si>
    <t>17-2112</t>
  </si>
  <si>
    <t>Industrial Engineers</t>
  </si>
  <si>
    <t>17-2121</t>
  </si>
  <si>
    <t>Marine Engineers and Naval Architects</t>
  </si>
  <si>
    <t>17-2131</t>
  </si>
  <si>
    <t>Materials Engineers</t>
  </si>
  <si>
    <t>17-2141</t>
  </si>
  <si>
    <t>Mechanical Engineers</t>
  </si>
  <si>
    <t>17-2151</t>
  </si>
  <si>
    <t>Mining and Geological Engineers, Including Mining Safety Engineers</t>
  </si>
  <si>
    <t>17-2161</t>
  </si>
  <si>
    <t>Nuclear Engineers</t>
  </si>
  <si>
    <t>17-2171</t>
  </si>
  <si>
    <t>Petroleum Engineers</t>
  </si>
  <si>
    <t>17-2199</t>
  </si>
  <si>
    <t>Engineers, All Other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</si>
  <si>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</si>
  <si>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</si>
  <si>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</si>
  <si>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</si>
  <si>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</si>
  <si>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</si>
  <si>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17-3021</t>
  </si>
  <si>
    <t>Aerospace Engineering and Operations Technicians</t>
  </si>
  <si>
    <t>17-3022</t>
  </si>
  <si>
    <t>Civil Engineering Technicians</t>
  </si>
  <si>
    <t>17-3023</t>
  </si>
  <si>
    <t>Electrical and Electronic Engineering Technicians</t>
  </si>
  <si>
    <t>17-3024</t>
  </si>
  <si>
    <t>Electro-Mechanical Technicians</t>
  </si>
  <si>
    <t>17-3025</t>
  </si>
  <si>
    <t>Environmental Engineering Technicians</t>
  </si>
  <si>
    <t>17-3026</t>
  </si>
  <si>
    <t>Industrial Engineering Technicians</t>
  </si>
  <si>
    <t>17-3027</t>
  </si>
  <si>
    <t>Mechanical Engineering Technicians</t>
  </si>
  <si>
    <t>17-3029</t>
  </si>
  <si>
    <t>Engineering Technicians, Except Drafters, All Other</t>
  </si>
  <si>
    <t>17-3031</t>
  </si>
  <si>
    <t>Surveying and Mapping Technicians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</si>
  <si>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</si>
  <si>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</si>
  <si>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</si>
  <si>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</si>
  <si>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</si>
  <si>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</si>
  <si>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19-1020</t>
  </si>
  <si>
    <t>Biologists</t>
  </si>
  <si>
    <t>19-1021</t>
  </si>
  <si>
    <t>Biochemists and Biophysicists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</si>
  <si>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</si>
  <si>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</si>
  <si>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</si>
  <si>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</si>
  <si>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</si>
  <si>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</si>
  <si>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19-1031</t>
  </si>
  <si>
    <t>Conservation Scientists</t>
  </si>
  <si>
    <t>19-1032</t>
  </si>
  <si>
    <t>Foresters</t>
  </si>
  <si>
    <t>19-1041</t>
  </si>
  <si>
    <t>Epidemiologists</t>
  </si>
  <si>
    <t>19-1042</t>
  </si>
  <si>
    <t>Medical Scientists, Except Epidemiologists</t>
  </si>
  <si>
    <t>19-2011</t>
  </si>
  <si>
    <t>Astronomers</t>
  </si>
  <si>
    <t>19-2012</t>
  </si>
  <si>
    <t>Physicists</t>
  </si>
  <si>
    <t>19-2021</t>
  </si>
  <si>
    <t>Atmospheric and Space Scientists</t>
  </si>
  <si>
    <t>19-2031</t>
  </si>
  <si>
    <t>Chemists</t>
  </si>
  <si>
    <t>19-2032</t>
  </si>
  <si>
    <t>Materials Scientists</t>
  </si>
  <si>
    <t>19-2041</t>
  </si>
  <si>
    <t>Environmental Scientists and Specialists, Including Health</t>
  </si>
  <si>
    <t>19-2042</t>
  </si>
  <si>
    <t>Geoscientists, Except Hydrologists and Geographers</t>
  </si>
  <si>
    <t>19-2043</t>
  </si>
  <si>
    <t>Hydrologists</t>
  </si>
  <si>
    <t>19-2099</t>
  </si>
  <si>
    <t>Physical Scientists, All Other</t>
  </si>
  <si>
    <t>19-3011</t>
  </si>
  <si>
    <t>Economists</t>
  </si>
  <si>
    <t>19-3022</t>
  </si>
  <si>
    <t>Survey Researchers</t>
  </si>
  <si>
    <t>19-3031</t>
  </si>
  <si>
    <t>Clinical, Counseling, and School Psychologists</t>
  </si>
  <si>
    <t>19-3032</t>
  </si>
  <si>
    <t>Industrial-Organizational Psychologists</t>
  </si>
  <si>
    <t>19-3039</t>
  </si>
  <si>
    <t>Psychologists, All Other</t>
  </si>
  <si>
    <t>19-3041</t>
  </si>
  <si>
    <t>Sociologists</t>
  </si>
  <si>
    <t>19-3051</t>
  </si>
  <si>
    <t>Urban and Regional Planners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</si>
  <si>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</si>
  <si>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</si>
  <si>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</si>
  <si>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</si>
  <si>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</si>
  <si>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</si>
  <si>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</si>
  <si>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</si>
  <si>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</si>
  <si>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</si>
  <si>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19-4011</t>
  </si>
  <si>
    <t>Agricultural and Food Science Technicians</t>
  </si>
  <si>
    <t>19-4021</t>
  </si>
  <si>
    <t>Biological Technicians</t>
  </si>
  <si>
    <t>19-4031</t>
  </si>
  <si>
    <t>Chemical Technicians</t>
  </si>
  <si>
    <t>19-4041</t>
  </si>
  <si>
    <t>Geological and Petroleum Technicians</t>
  </si>
  <si>
    <t>19-4051</t>
  </si>
  <si>
    <t>Nuclear Technicians</t>
  </si>
  <si>
    <t>19-4061</t>
  </si>
  <si>
    <t>Social Science Research Assistants</t>
  </si>
  <si>
    <t>19-4091</t>
  </si>
  <si>
    <t>Environmental Science and Protection Technicians, Including Health</t>
  </si>
  <si>
    <t>19-4092</t>
  </si>
  <si>
    <t>Forensic Science Technicians</t>
  </si>
  <si>
    <t>19-4093</t>
  </si>
  <si>
    <t>Forest and Conservation Technicians</t>
  </si>
  <si>
    <t>19-4099</t>
  </si>
  <si>
    <t>Life, Physical, and Social Science Technicians, All Other</t>
  </si>
  <si>
    <t>21-1011</t>
  </si>
  <si>
    <t>Substance Abuse and Behavioral Disorder Counselors</t>
  </si>
  <si>
    <t>21-1012</t>
  </si>
  <si>
    <t>Educational, Guidance, School, and Vocational Counselors</t>
  </si>
  <si>
    <t>21-1013</t>
  </si>
  <si>
    <t>Marriage and Family Therapists</t>
  </si>
  <si>
    <t>21-1014</t>
  </si>
  <si>
    <t>Mental Health Counselors</t>
  </si>
  <si>
    <t>21-1015</t>
  </si>
  <si>
    <t>Rehabilitation Counselors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</si>
  <si>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</si>
  <si>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</si>
  <si>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</si>
  <si>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</si>
  <si>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</si>
  <si>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</si>
  <si>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21-1091</t>
  </si>
  <si>
    <t>Health Educators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</si>
  <si>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</si>
  <si>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</si>
  <si>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</si>
  <si>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</si>
  <si>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</si>
  <si>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</si>
  <si>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21-2011</t>
  </si>
  <si>
    <t>Clergy</t>
  </si>
  <si>
    <t>21-2021</t>
  </si>
  <si>
    <t>Directors, Religious Activities and Education</t>
  </si>
  <si>
    <t>23-1011</t>
  </si>
  <si>
    <t>Lawyers</t>
  </si>
  <si>
    <t>23-1012</t>
  </si>
  <si>
    <t>Judicial Law Clerks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</si>
  <si>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</si>
  <si>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</si>
  <si>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</si>
  <si>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</si>
  <si>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</si>
  <si>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</si>
  <si>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23-2011</t>
  </si>
  <si>
    <t>Paralegals and Legal Assistants</t>
  </si>
  <si>
    <t>23-2091</t>
  </si>
  <si>
    <t>Court Reporters</t>
  </si>
  <si>
    <t>23-2093</t>
  </si>
  <si>
    <t>Title Examiners, Abstractors, and Searchers</t>
  </si>
  <si>
    <t>25-1011</t>
  </si>
  <si>
    <t>Business Teachers, Postsecondary</t>
  </si>
  <si>
    <t>25-1021</t>
  </si>
  <si>
    <t>Computer Science Teachers, Postsecondary</t>
  </si>
  <si>
    <t>25-1022</t>
  </si>
  <si>
    <t>Mathematical Science Teachers, Postsecondary</t>
  </si>
  <si>
    <t>25-1031</t>
  </si>
  <si>
    <t>Architecture Teachers, Postsecondary</t>
  </si>
  <si>
    <t>25-1032</t>
  </si>
  <si>
    <t>Engineering Teachers, Postsecondary</t>
  </si>
  <si>
    <t>25-1041</t>
  </si>
  <si>
    <t>Agricultural Sciences Teachers, Postsecondary</t>
  </si>
  <si>
    <t>25-1042</t>
  </si>
  <si>
    <t>Biological Science Teachers, Postsecondary</t>
  </si>
  <si>
    <t>25-1043</t>
  </si>
  <si>
    <t>Forestry and Conservation Science Teachers, Postsecondary</t>
  </si>
  <si>
    <t>25-1051</t>
  </si>
  <si>
    <t>Atmospheric, Earth, Marine, and Space Sciences Teachers, Postsecondary</t>
  </si>
  <si>
    <t>25-1052</t>
  </si>
  <si>
    <t>Chemistry Teachers, Postsecondary</t>
  </si>
  <si>
    <t>25-1053</t>
  </si>
  <si>
    <t>Environmental Science Teachers, Postsecondary</t>
  </si>
  <si>
    <t>25-1054</t>
  </si>
  <si>
    <t>Physics Teachers, Postsecondary</t>
  </si>
  <si>
    <t>25-1061</t>
  </si>
  <si>
    <t>Anthropology and Archeology Teachers, Postsecondary</t>
  </si>
  <si>
    <t>25-1062</t>
  </si>
  <si>
    <t>Area, Ethnic, and Cultural Studies Teachers, Postsecondary</t>
  </si>
  <si>
    <t>25-1063</t>
  </si>
  <si>
    <t>Economics Teachers, Postsecondary</t>
  </si>
  <si>
    <t>25-1064</t>
  </si>
  <si>
    <t>Geography Teachers, Postsecondary</t>
  </si>
  <si>
    <t>25-1065</t>
  </si>
  <si>
    <t>Political Science Teachers, Postsecondary</t>
  </si>
  <si>
    <t>25-1066</t>
  </si>
  <si>
    <t>Psychology Teachers, Postsecondary</t>
  </si>
  <si>
    <t>25-1067</t>
  </si>
  <si>
    <t>Sociology Teachers, Postsecondary</t>
  </si>
  <si>
    <t>25-1071</t>
  </si>
  <si>
    <t>Health Specialties Teachers, Postsecondary</t>
  </si>
  <si>
    <t>25-1072</t>
  </si>
  <si>
    <t>Nursing Instructors and Teachers, Postsecondary</t>
  </si>
  <si>
    <t>25-1081</t>
  </si>
  <si>
    <t>Education Teachers, Postsecondary</t>
  </si>
  <si>
    <t>25-1082</t>
  </si>
  <si>
    <t>Library Science Teachers, Postsecondary</t>
  </si>
  <si>
    <t>25-1111</t>
  </si>
  <si>
    <t>Criminal Justice and Law Enforcement Teachers, Postsecondary</t>
  </si>
  <si>
    <t>25-1112</t>
  </si>
  <si>
    <t>Law Teachers, Postsecondary</t>
  </si>
  <si>
    <t>25-1113</t>
  </si>
  <si>
    <t>Social Work Teachers, Postsecondary</t>
  </si>
  <si>
    <t>25-1121</t>
  </si>
  <si>
    <t>Art, Drama, and Music Teachers, Postsecondary</t>
  </si>
  <si>
    <t>25-1122</t>
  </si>
  <si>
    <t>Communications Teachers, Postsecondary</t>
  </si>
  <si>
    <t>25-1123</t>
  </si>
  <si>
    <t>English Language and Literature Teachers, Postsecondary</t>
  </si>
  <si>
    <t>25-1124</t>
  </si>
  <si>
    <t>Foreign Language and Literature Teachers, Postsecondary</t>
  </si>
  <si>
    <t>25-1125</t>
  </si>
  <si>
    <t>History Teachers, Postsecondary</t>
  </si>
  <si>
    <t>25-1126</t>
  </si>
  <si>
    <t>Philosophy and Religion Teachers, Postsecondary</t>
  </si>
  <si>
    <t>25-1191</t>
  </si>
  <si>
    <t>Graduate Teaching Assistants</t>
  </si>
  <si>
    <t>25-1192</t>
  </si>
  <si>
    <t>Home Economics Teachers, Postsecondary</t>
  </si>
  <si>
    <t>25-1193</t>
  </si>
  <si>
    <t>Recreation and Fitness Studies Teachers, Postsecondary</t>
  </si>
  <si>
    <t>25-1194</t>
  </si>
  <si>
    <t>Vocational Education Teachers, Postsecondary</t>
  </si>
  <si>
    <t>25-2011</t>
  </si>
  <si>
    <t>Preschool Teachers, Except Special Education</t>
  </si>
  <si>
    <t>25-2012</t>
  </si>
  <si>
    <t>Kindergarten Teachers, Except Special Education</t>
  </si>
  <si>
    <t>25-2021</t>
  </si>
  <si>
    <t>Elementary School Teachers, Except Special Education</t>
  </si>
  <si>
    <t>25-2022</t>
  </si>
  <si>
    <t>Middle School Teachers, Except Special and Career/Technical Education</t>
  </si>
  <si>
    <t>25-2023</t>
  </si>
  <si>
    <t>Career/Technical Education Teachers, Middle School</t>
  </si>
  <si>
    <t>25-2031</t>
  </si>
  <si>
    <t>Secondary School Teachers, Except Special and Career/Technical Education</t>
  </si>
  <si>
    <t>25-2032</t>
  </si>
  <si>
    <t>Career/Technical Education Teachers, Secondary School</t>
  </si>
  <si>
    <t>25-2051</t>
  </si>
  <si>
    <t>Special Education Teachers, Preschool</t>
  </si>
  <si>
    <t>25-2052</t>
  </si>
  <si>
    <t>Special Education Teachers, Kindergarten and Elementary School</t>
  </si>
  <si>
    <t>25-2053</t>
  </si>
  <si>
    <t>Special Education Teachers, Middle School</t>
  </si>
  <si>
    <t>25-2054</t>
  </si>
  <si>
    <t>Special Education Teachers, Secondary School</t>
  </si>
  <si>
    <t>25-2059</t>
  </si>
  <si>
    <t>Special Education Teachers, All Other</t>
  </si>
  <si>
    <t>25-3011</t>
  </si>
  <si>
    <t>Adult Basic and Secondary Education and Literacy Teachers and Instructors</t>
  </si>
  <si>
    <t>25-3021</t>
  </si>
  <si>
    <t>Self-Enrichment Education Teachers</t>
  </si>
  <si>
    <t>25-3099</t>
  </si>
  <si>
    <t>Teachers and Instructors, All Other</t>
  </si>
  <si>
    <t>25-4011</t>
  </si>
  <si>
    <t>Archivists</t>
  </si>
  <si>
    <t>25-4012</t>
  </si>
  <si>
    <t>Curators</t>
  </si>
  <si>
    <t>25-4013</t>
  </si>
  <si>
    <t>Museum Technicians and Conservators</t>
  </si>
  <si>
    <t>25-4021</t>
  </si>
  <si>
    <t>Librarians</t>
  </si>
  <si>
    <t>25-4031</t>
  </si>
  <si>
    <t>Library Technicians</t>
  </si>
  <si>
    <t>25-9011</t>
  </si>
  <si>
    <t>Audio-Visual and Multimedia Collections Specialists</t>
  </si>
  <si>
    <t>25-9021</t>
  </si>
  <si>
    <t>Farm and Home Management Advisors</t>
  </si>
  <si>
    <t>25-9031</t>
  </si>
  <si>
    <t>Instructional Coordinators</t>
  </si>
  <si>
    <t>25-9041</t>
  </si>
  <si>
    <t>Teacher Assistants</t>
  </si>
  <si>
    <t>27-1011</t>
  </si>
  <si>
    <t>Art Directors</t>
  </si>
  <si>
    <t>27-1012</t>
  </si>
  <si>
    <t>Craft Artists</t>
  </si>
  <si>
    <t>27-1013</t>
  </si>
  <si>
    <t>Fine Artists, Including Painters, Sculptors, and Illustrators</t>
  </si>
  <si>
    <t>27-1014</t>
  </si>
  <si>
    <t>Multimedia Artists and Animators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</si>
  <si>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</si>
  <si>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</si>
  <si>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</si>
  <si>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</si>
  <si>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</si>
  <si>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</si>
  <si>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27-1024</t>
  </si>
  <si>
    <t>Graphic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</si>
  <si>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</si>
  <si>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</si>
  <si>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</si>
  <si>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</si>
  <si>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</si>
  <si>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</si>
  <si>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27-2011</t>
  </si>
  <si>
    <t>Actors</t>
  </si>
  <si>
    <t>27-2012</t>
  </si>
  <si>
    <t>Producers and Directors</t>
  </si>
  <si>
    <t>27-2021</t>
  </si>
  <si>
    <t>Athletes and Sports Competitors</t>
  </si>
  <si>
    <t>27-2022</t>
  </si>
  <si>
    <t>Coaches and Scouts</t>
  </si>
  <si>
    <t>27-2023</t>
  </si>
  <si>
    <t>Umpires, Referees, and Other Sports Officials</t>
  </si>
  <si>
    <t>27-2031</t>
  </si>
  <si>
    <t>Dancers</t>
  </si>
  <si>
    <t>27-2032</t>
  </si>
  <si>
    <t>Choreographers</t>
  </si>
  <si>
    <t>27-2041</t>
  </si>
  <si>
    <t>Music Directors and Composers</t>
  </si>
  <si>
    <t>27-2042</t>
  </si>
  <si>
    <t>Musicians and Singers</t>
  </si>
  <si>
    <t>27-3011</t>
  </si>
  <si>
    <t>Radio and Television Announcers</t>
  </si>
  <si>
    <t>27-3012</t>
  </si>
  <si>
    <t>Public Address System and Other Announcers</t>
  </si>
  <si>
    <t>27-3021</t>
  </si>
  <si>
    <t>Broadcast News Analysts</t>
  </si>
  <si>
    <t>27-3022</t>
  </si>
  <si>
    <t>Reporters and Correspondents</t>
  </si>
  <si>
    <t>27-3031</t>
  </si>
  <si>
    <t>Public Relations Specialists</t>
  </si>
  <si>
    <t>27-3041</t>
  </si>
  <si>
    <t>Editors</t>
  </si>
  <si>
    <t>27-3042</t>
  </si>
  <si>
    <t>Technical Writers</t>
  </si>
  <si>
    <t>27-3043</t>
  </si>
  <si>
    <t>Writers and Authors</t>
  </si>
  <si>
    <t>27-3091</t>
  </si>
  <si>
    <t>Interpreters and Translators</t>
  </si>
  <si>
    <t>27-4011</t>
  </si>
  <si>
    <t>Audio and Video Equipment Technicians</t>
  </si>
  <si>
    <t>27-4012</t>
  </si>
  <si>
    <t>Broadcast Technicians</t>
  </si>
  <si>
    <t>27-4013</t>
  </si>
  <si>
    <t>Radio Operators</t>
  </si>
  <si>
    <t>27-4014</t>
  </si>
  <si>
    <t>Sound Engineering Technicians</t>
  </si>
  <si>
    <t>27-4021</t>
  </si>
  <si>
    <t>Photographers</t>
  </si>
  <si>
    <t>27-4031</t>
  </si>
  <si>
    <t>Camera Operators, Television, Video, and Motion Picture</t>
  </si>
  <si>
    <t>27-4032</t>
  </si>
  <si>
    <t>Film and Video Editors</t>
  </si>
  <si>
    <t>29-1011</t>
  </si>
  <si>
    <t>Chiropractors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</si>
  <si>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</si>
  <si>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</si>
  <si>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</si>
  <si>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</si>
  <si>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</si>
  <si>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</si>
  <si>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</si>
  <si>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</si>
  <si>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29-1031</t>
  </si>
  <si>
    <t>Dietitians and Nutritionists</t>
  </si>
  <si>
    <t>29-1041</t>
  </si>
  <si>
    <t>Optometrists</t>
  </si>
  <si>
    <t>29-1051</t>
  </si>
  <si>
    <t>Pharmacists</t>
  </si>
  <si>
    <t>29-1061</t>
  </si>
  <si>
    <t>Anesthesiologists</t>
  </si>
  <si>
    <t>29-1062</t>
  </si>
  <si>
    <t>Family and General Practitioners</t>
  </si>
  <si>
    <t>29-1063</t>
  </si>
  <si>
    <t>Internists, General</t>
  </si>
  <si>
    <t>29-1064</t>
  </si>
  <si>
    <t>Obstetricians and Gynecologists</t>
  </si>
  <si>
    <t>29-1065</t>
  </si>
  <si>
    <t>Pediatricians, General</t>
  </si>
  <si>
    <t>29-1066</t>
  </si>
  <si>
    <t>Psychiatrists</t>
  </si>
  <si>
    <t>29-1067</t>
  </si>
  <si>
    <t>Surgeons</t>
  </si>
  <si>
    <t>29-1069</t>
  </si>
  <si>
    <t>Physicians and Surgeons, All Other</t>
  </si>
  <si>
    <t>29-1071</t>
  </si>
  <si>
    <t>Physician Assistants</t>
  </si>
  <si>
    <t>29-1081</t>
  </si>
  <si>
    <t>Podiatrists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</si>
  <si>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</si>
  <si>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</si>
  <si>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</si>
  <si>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</si>
  <si>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</si>
  <si>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</si>
  <si>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</si>
  <si>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</si>
  <si>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</si>
  <si>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</si>
  <si>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</si>
  <si>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</si>
  <si>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</si>
  <si>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</si>
  <si>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29-1131</t>
  </si>
  <si>
    <t>Veterinarians</t>
  </si>
  <si>
    <t>29-1141</t>
  </si>
  <si>
    <t>Registered Nurses</t>
  </si>
  <si>
    <t>29-1151</t>
  </si>
  <si>
    <t>Nurse Anesthetists</t>
  </si>
  <si>
    <t>29-1161</t>
  </si>
  <si>
    <t>Nurse Midwives</t>
  </si>
  <si>
    <t>29-1171</t>
  </si>
  <si>
    <t>Nurse Practitioners</t>
  </si>
  <si>
    <t>29-1181</t>
  </si>
  <si>
    <t>Audiologists</t>
  </si>
  <si>
    <t>29-1199</t>
  </si>
  <si>
    <t>Health Diagnosing and Treating Practitioners, All Other</t>
  </si>
  <si>
    <t>29-2011</t>
  </si>
  <si>
    <t>Medical and Clinical Laboratory Technologists</t>
  </si>
  <si>
    <t>29-2012</t>
  </si>
  <si>
    <t>Medical and Clinical Laboratory Technicians</t>
  </si>
  <si>
    <t>29-2021</t>
  </si>
  <si>
    <t>Dental Hygienists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</si>
  <si>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</si>
  <si>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</si>
  <si>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</si>
  <si>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</si>
  <si>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</si>
  <si>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</si>
  <si>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</si>
  <si>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>Radiologic Technologists</t>
  </si>
  <si>
    <t>29-2035</t>
  </si>
  <si>
    <t>Magnetic Resonance Imaging Technologists</t>
  </si>
  <si>
    <t>29-2041</t>
  </si>
  <si>
    <t>Emergency Medical Technicians and Paramedics</t>
  </si>
  <si>
    <t>29-2051</t>
  </si>
  <si>
    <t>Dietetic Technicians</t>
  </si>
  <si>
    <t>29-2052</t>
  </si>
  <si>
    <t>Pharmacy Technicians</t>
  </si>
  <si>
    <t>29-2053</t>
  </si>
  <si>
    <t>Psychiatric Technicians</t>
  </si>
  <si>
    <t>29-2054</t>
  </si>
  <si>
    <t>Respiratory Therapy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</si>
  <si>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</si>
  <si>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</si>
  <si>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</si>
  <si>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</si>
  <si>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</si>
  <si>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</si>
  <si>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29-2061</t>
  </si>
  <si>
    <t>Licensed Practical and Licensed Vocational Nurses</t>
  </si>
  <si>
    <t>29-2071</t>
  </si>
  <si>
    <t>Medical Records and Health Information Technicians</t>
  </si>
  <si>
    <t>29-2081</t>
  </si>
  <si>
    <t>Opticians, Dispensing</t>
  </si>
  <si>
    <t>29-2091</t>
  </si>
  <si>
    <t>Orthotists and Prosthetists</t>
  </si>
  <si>
    <t>29-2092</t>
  </si>
  <si>
    <t>Hearing Aid Specialists</t>
  </si>
  <si>
    <t>29-2099</t>
  </si>
  <si>
    <t>Health Technologists and Technicians, All Other</t>
  </si>
  <si>
    <t>29-9011</t>
  </si>
  <si>
    <t>Occupational Health and Safety Specialists</t>
  </si>
  <si>
    <t>29-9012</t>
  </si>
  <si>
    <t>Occupational Health and Safety Technicians</t>
  </si>
  <si>
    <t>29-9091</t>
  </si>
  <si>
    <t>Athletic Trainers</t>
  </si>
  <si>
    <t>29-9092</t>
  </si>
  <si>
    <t>Genetic Counselors</t>
  </si>
  <si>
    <t>29-9099</t>
  </si>
  <si>
    <t>Healthcare Practitioners and Technical Workers, All Other</t>
  </si>
  <si>
    <t>31-1011</t>
  </si>
  <si>
    <t>Home Health Aides</t>
  </si>
  <si>
    <t>31-1013</t>
  </si>
  <si>
    <t>Psychiatric Aides</t>
  </si>
  <si>
    <t>31-1014</t>
  </si>
  <si>
    <t>Nursing Assistants</t>
  </si>
  <si>
    <t>31-1015</t>
  </si>
  <si>
    <t>Orderlies</t>
  </si>
  <si>
    <t>31-2011</t>
  </si>
  <si>
    <t>Occupational Therapy Assistants</t>
  </si>
  <si>
    <t>31-2012</t>
  </si>
  <si>
    <t>Occupational Therapy Aides</t>
  </si>
  <si>
    <t>31-2021</t>
  </si>
  <si>
    <t>Physical Therapist Assistants</t>
  </si>
  <si>
    <t>31-2022</t>
  </si>
  <si>
    <t>Physical Therapist Aides</t>
  </si>
  <si>
    <t>31-9011</t>
  </si>
  <si>
    <t>Massage Therapists</t>
  </si>
  <si>
    <t>31-9091</t>
  </si>
  <si>
    <t>Dental Assistants</t>
  </si>
  <si>
    <t>31-9092</t>
  </si>
  <si>
    <t>Medical Assistants</t>
  </si>
  <si>
    <t>31-9093</t>
  </si>
  <si>
    <t>Medical Equipment Preparers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</si>
  <si>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</si>
  <si>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</si>
  <si>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</si>
  <si>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</si>
  <si>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</si>
  <si>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</si>
  <si>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</si>
  <si>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</si>
  <si>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</si>
  <si>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</si>
  <si>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33-1011</t>
  </si>
  <si>
    <t>First-Line Supervisors of Correctional Officers</t>
  </si>
  <si>
    <t>33-1012</t>
  </si>
  <si>
    <t>First-Line Supervisors of Police and Detectives</t>
  </si>
  <si>
    <t>33-1021</t>
  </si>
  <si>
    <t>First-Line Supervisors of Fire Fighting and Prevention Workers</t>
  </si>
  <si>
    <t>33-2011</t>
  </si>
  <si>
    <t>Firefighters</t>
  </si>
  <si>
    <t>33-2021</t>
  </si>
  <si>
    <t>Fire Inspectors and Investigators</t>
  </si>
  <si>
    <t>33-2022</t>
  </si>
  <si>
    <t>Forest Fire Inspectors and Prevention Specialists</t>
  </si>
  <si>
    <t>33-3011</t>
  </si>
  <si>
    <t>Bailiffs</t>
  </si>
  <si>
    <t>33-3012</t>
  </si>
  <si>
    <t>Correctional Officers and Jailers</t>
  </si>
  <si>
    <t>33-3021</t>
  </si>
  <si>
    <t>Detectives and Criminal Investigators</t>
  </si>
  <si>
    <t>33-3031</t>
  </si>
  <si>
    <t>Fish and Game Wardens</t>
  </si>
  <si>
    <t>33-3041</t>
  </si>
  <si>
    <t>Parking Enforcement Workers</t>
  </si>
  <si>
    <t>33-3051</t>
  </si>
  <si>
    <t>Police and Sheriff's Patrol Officers</t>
  </si>
  <si>
    <t>33-3052</t>
  </si>
  <si>
    <t>Transit and Railroad Police</t>
  </si>
  <si>
    <t>33-9011</t>
  </si>
  <si>
    <t>Animal Control Workers</t>
  </si>
  <si>
    <t>33-9021</t>
  </si>
  <si>
    <t>Private Detectives and Investigators</t>
  </si>
  <si>
    <t>33-9031</t>
  </si>
  <si>
    <t>Gaming Surveillance Officers and Gaming Investigators</t>
  </si>
  <si>
    <t>33-9032</t>
  </si>
  <si>
    <t>Security Guards</t>
  </si>
  <si>
    <t>33-9091</t>
  </si>
  <si>
    <t>Crossing Guards</t>
  </si>
  <si>
    <t>33-9092</t>
  </si>
  <si>
    <t>Lifeguards, Ski Patrol, and Other Recreational Protective Service Workers</t>
  </si>
  <si>
    <t>33-9093</t>
  </si>
  <si>
    <t>Transportation Security Screeners</t>
  </si>
  <si>
    <t>33-9099</t>
  </si>
  <si>
    <t>Protective Service Workers, All Other</t>
  </si>
  <si>
    <t>35-1011</t>
  </si>
  <si>
    <t>Chefs and Head Cooks</t>
  </si>
  <si>
    <t>35-1012</t>
  </si>
  <si>
    <t>First-Line Supervisors of Food Preparation and Serving Workers</t>
  </si>
  <si>
    <t>35-2011</t>
  </si>
  <si>
    <t>Cooks, Fast Food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</si>
  <si>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</si>
  <si>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</si>
  <si>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</si>
  <si>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</si>
  <si>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</si>
  <si>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</si>
  <si>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</si>
  <si>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</si>
  <si>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35-2021</t>
  </si>
  <si>
    <t>Food Preparation Workers</t>
  </si>
  <si>
    <t>35-3011</t>
  </si>
  <si>
    <t>Bartenders</t>
  </si>
  <si>
    <t>35-3021</t>
  </si>
  <si>
    <t>Combined Food Preparation and Serving Workers, Including Fast Food</t>
  </si>
  <si>
    <t>35-3022</t>
  </si>
  <si>
    <t>Counter Attendants, Cafeteria, Food Concession, and Coffee Shop</t>
  </si>
  <si>
    <t>35-3031</t>
  </si>
  <si>
    <t>Waiters and Waitresses</t>
  </si>
  <si>
    <t>35-3041</t>
  </si>
  <si>
    <t>Food Servers, Nonrestaurant</t>
  </si>
  <si>
    <t>35-9011</t>
  </si>
  <si>
    <t>Dining Room and Cafeteria Attendants and Bartender Helpers</t>
  </si>
  <si>
    <t>35-9021</t>
  </si>
  <si>
    <t>Dishwashers</t>
  </si>
  <si>
    <t>35-9031</t>
  </si>
  <si>
    <t>Hosts and Hostesses, Restaurant, Lounge, and Coffee Shop</t>
  </si>
  <si>
    <t>37-1011</t>
  </si>
  <si>
    <t>First-Line Supervisors of Housekeeping and Janitorial Workers</t>
  </si>
  <si>
    <t>37-1012</t>
  </si>
  <si>
    <t>First-Line Supervisors of Landscaping, Lawn Service, and Groundskeeping Workers</t>
  </si>
  <si>
    <t>37-2011</t>
  </si>
  <si>
    <t>Janitors and Cleaners, Except Maids and Housekeeping Cleaners</t>
  </si>
  <si>
    <t>37-2012</t>
  </si>
  <si>
    <t>Maids and Housekeeping Cleaners</t>
  </si>
  <si>
    <t>37-2021</t>
  </si>
  <si>
    <t>Pest Control Workers</t>
  </si>
  <si>
    <t>37-3011</t>
  </si>
  <si>
    <t>Landscaping and Groundskeeping Workers</t>
  </si>
  <si>
    <t>37-3012</t>
  </si>
  <si>
    <t>Pesticide Handlers, Sprayers, and Applicators, Vegetation</t>
  </si>
  <si>
    <t>37-3013</t>
  </si>
  <si>
    <t>Tree Trimmers and Pruners</t>
  </si>
  <si>
    <t>39-1011</t>
  </si>
  <si>
    <t>Gaming Supervisors</t>
  </si>
  <si>
    <t>39-1012</t>
  </si>
  <si>
    <t>Slot Supervisors</t>
  </si>
  <si>
    <t>39-1021</t>
  </si>
  <si>
    <t>First-Line Supervisors of Personal Service Workers</t>
  </si>
  <si>
    <t>39-2011</t>
  </si>
  <si>
    <t>Animal Trainers</t>
  </si>
  <si>
    <t>39-2021</t>
  </si>
  <si>
    <t>Nonfarm Animal Caretakers</t>
  </si>
  <si>
    <t>39-3011</t>
  </si>
  <si>
    <t>Gaming Dealers</t>
  </si>
  <si>
    <t>39-3012</t>
  </si>
  <si>
    <t>Gaming and Sports Book Writers and Runners</t>
  </si>
  <si>
    <t>39-3021</t>
  </si>
  <si>
    <t>Motion Picture Projectionists</t>
  </si>
  <si>
    <t>39-3031</t>
  </si>
  <si>
    <t>Ushers, Lobby Attendants, and Ticket Takers</t>
  </si>
  <si>
    <t>39-3091</t>
  </si>
  <si>
    <t>Amusement and Recreation Attendants</t>
  </si>
  <si>
    <t>39-3092</t>
  </si>
  <si>
    <t>Costume Attendants</t>
  </si>
  <si>
    <t>39-3093</t>
  </si>
  <si>
    <t>Locker Room, Coatroom, and Dressing Room Attendants</t>
  </si>
  <si>
    <t>39-4011</t>
  </si>
  <si>
    <t>Embalmers</t>
  </si>
  <si>
    <t>39-4021</t>
  </si>
  <si>
    <t>Funeral Attendants</t>
  </si>
  <si>
    <t>39-4031</t>
  </si>
  <si>
    <t>Morticians, Undertakers, and Funeral Directors</t>
  </si>
  <si>
    <t>39-5011</t>
  </si>
  <si>
    <t>Barbers</t>
  </si>
  <si>
    <t>39-5012</t>
  </si>
  <si>
    <t>Hairdressers, Hairstylists, and Cosmetologists</t>
  </si>
  <si>
    <t>39-5091</t>
  </si>
  <si>
    <t>Makeup Artists, Theatrical and Performance</t>
  </si>
  <si>
    <t>39-5092</t>
  </si>
  <si>
    <t>Manicurists and Pedicurists</t>
  </si>
  <si>
    <t>39-5093</t>
  </si>
  <si>
    <t>Shampooers</t>
  </si>
  <si>
    <t>39-5094</t>
  </si>
  <si>
    <t>Skincare Specialists</t>
  </si>
  <si>
    <t>39-6011</t>
  </si>
  <si>
    <t>Baggage Porters and Bellhops</t>
  </si>
  <si>
    <t>39-6012</t>
  </si>
  <si>
    <t>Concierges</t>
  </si>
  <si>
    <t>39-7011</t>
  </si>
  <si>
    <t>Tour Guides and Escorts</t>
  </si>
  <si>
    <t>39-7012</t>
  </si>
  <si>
    <t>Travel Guides</t>
  </si>
  <si>
    <t>39-9011</t>
  </si>
  <si>
    <t>Childcare Workers</t>
  </si>
  <si>
    <t>39-9021</t>
  </si>
  <si>
    <t>Personal Care Aides</t>
  </si>
  <si>
    <t>39-9031</t>
  </si>
  <si>
    <t>Fitness Trainers and Aerobics Instructors</t>
  </si>
  <si>
    <t>39-9032</t>
  </si>
  <si>
    <t>Recreation Workers</t>
  </si>
  <si>
    <t>39-9041</t>
  </si>
  <si>
    <t>Residential Advisors</t>
  </si>
  <si>
    <t>41-1011</t>
  </si>
  <si>
    <t>First-Line Supervisors of Retail Sales Workers</t>
  </si>
  <si>
    <t>41-1012</t>
  </si>
  <si>
    <t>First-Line Supervisors of Non-Retail Sales Workers</t>
  </si>
  <si>
    <t>41-2011</t>
  </si>
  <si>
    <t>Cashiers</t>
  </si>
  <si>
    <t>41-2012</t>
  </si>
  <si>
    <t>Gaming Change Persons and Booth Cashiers</t>
  </si>
  <si>
    <t>41-2021</t>
  </si>
  <si>
    <t>Counter and Rental Clerks</t>
  </si>
  <si>
    <t>41-2022</t>
  </si>
  <si>
    <t>Parts Salespersons</t>
  </si>
  <si>
    <t>41-2031</t>
  </si>
  <si>
    <t>Retail Salespersons</t>
  </si>
  <si>
    <t>41-3011</t>
  </si>
  <si>
    <t>Advertising Sales Agents</t>
  </si>
  <si>
    <t>41-3021</t>
  </si>
  <si>
    <t>Insurance Sales Agents</t>
  </si>
  <si>
    <t>41-3031</t>
  </si>
  <si>
    <t>Securities, Commodities, and Financial Services Sales Agents</t>
  </si>
  <si>
    <t>41-3041</t>
  </si>
  <si>
    <t>Travel Agents</t>
  </si>
  <si>
    <t>41-3099</t>
  </si>
  <si>
    <t>Sales Representatives, Services, All Other</t>
  </si>
  <si>
    <t>41-4011</t>
  </si>
  <si>
    <t>Sales Representatives, Wholesale and Manufacturing, Technical and Scientific Products</t>
  </si>
  <si>
    <t>41-4012</t>
  </si>
  <si>
    <t>Sales Representatives, Wholesale and Manufacturing, Except Technical and Scientific Products</t>
  </si>
  <si>
    <t>41-9011</t>
  </si>
  <si>
    <t>Demonstrators and Product Promoters</t>
  </si>
  <si>
    <t>41-9012</t>
  </si>
  <si>
    <t>Models</t>
  </si>
  <si>
    <t>41-9021</t>
  </si>
  <si>
    <t>Real Estate Brokers</t>
  </si>
  <si>
    <t>41-9022</t>
  </si>
  <si>
    <t>Real Estate Sales Agents</t>
  </si>
  <si>
    <t>41-9031</t>
  </si>
  <si>
    <t>Sales Engineers</t>
  </si>
  <si>
    <t>41-9041</t>
  </si>
  <si>
    <t>Telemarketers</t>
  </si>
  <si>
    <t>41-9091</t>
  </si>
  <si>
    <t>Door-To-Door Sales Workers, News and Street Vendors, and Related Workers</t>
  </si>
  <si>
    <t>43-1011</t>
  </si>
  <si>
    <t>First-Line Supervisors of Office and Administrative Support Workers</t>
  </si>
  <si>
    <t>43-2011</t>
  </si>
  <si>
    <t>Switchboard Operators, Including Answering Service</t>
  </si>
  <si>
    <t>43-2021</t>
  </si>
  <si>
    <t>Telephone Operators</t>
  </si>
  <si>
    <t>43-3011</t>
  </si>
  <si>
    <t>Bill and Account Collectors</t>
  </si>
  <si>
    <t>43-3021</t>
  </si>
  <si>
    <t>Billing and Posting Clerks</t>
  </si>
  <si>
    <t>43-3031</t>
  </si>
  <si>
    <t>Bookkeeping, Accounting, and Auditing Clerks</t>
  </si>
  <si>
    <t>43-3041</t>
  </si>
  <si>
    <t>Gaming Cage Workers</t>
  </si>
  <si>
    <t>43-3051</t>
  </si>
  <si>
    <t>Payroll and Timekeeping Clerks</t>
  </si>
  <si>
    <t>43-3061</t>
  </si>
  <si>
    <t>Procurement Clerks</t>
  </si>
  <si>
    <t>43-3071</t>
  </si>
  <si>
    <t>Tellers</t>
  </si>
  <si>
    <t>43-4011</t>
  </si>
  <si>
    <t>Brokerage Clerks</t>
  </si>
  <si>
    <t>43-4021</t>
  </si>
  <si>
    <t>Correspondence Clerks</t>
  </si>
  <si>
    <t>43-4031</t>
  </si>
  <si>
    <t>Court, Municipal, and License Clerks</t>
  </si>
  <si>
    <t>43-4041</t>
  </si>
  <si>
    <t>Credit Authorizers, Checkers, and Clerks</t>
  </si>
  <si>
    <t>43-4051</t>
  </si>
  <si>
    <t>Customer Service Representatives</t>
  </si>
  <si>
    <t>43-4061</t>
  </si>
  <si>
    <t>Eligibility Interviewers, Government Programs</t>
  </si>
  <si>
    <t>43-4071</t>
  </si>
  <si>
    <t>File Clerks</t>
  </si>
  <si>
    <t>43-4081</t>
  </si>
  <si>
    <t>Hotel, Motel, and Resort Desk Clerks</t>
  </si>
  <si>
    <t>43-4111</t>
  </si>
  <si>
    <t>Interviewers, Except Eligibility and Loan</t>
  </si>
  <si>
    <t>43-4121</t>
  </si>
  <si>
    <t>Library Assistants, Clerical</t>
  </si>
  <si>
    <t>43-4131</t>
  </si>
  <si>
    <t>Loan Interviewers and Clerks</t>
  </si>
  <si>
    <t>43-4141</t>
  </si>
  <si>
    <t>New Accounts Clerks</t>
  </si>
  <si>
    <t>43-4151</t>
  </si>
  <si>
    <t>Order Clerks</t>
  </si>
  <si>
    <t>43-4161</t>
  </si>
  <si>
    <t>Human Resources Assistants, Except Payroll and Timekeeping</t>
  </si>
  <si>
    <t>43-4171</t>
  </si>
  <si>
    <t>Receptionists and Information Clerks</t>
  </si>
  <si>
    <t>43-4181</t>
  </si>
  <si>
    <t>Reservation and Transportation Ticket Agents and Travel Clerks</t>
  </si>
  <si>
    <t>43-5011</t>
  </si>
  <si>
    <t>Cargo and Freight Agents</t>
  </si>
  <si>
    <t>43-5021</t>
  </si>
  <si>
    <t>Couriers and Messengers</t>
  </si>
  <si>
    <t>43-5031</t>
  </si>
  <si>
    <t>Police, Fire, and Ambulance Dispatchers</t>
  </si>
  <si>
    <t>43-5032</t>
  </si>
  <si>
    <t>Dispatchers, Except Police, Fire, and Ambulance</t>
  </si>
  <si>
    <t>43-5041</t>
  </si>
  <si>
    <t>Meter Readers, Utilities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</si>
  <si>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</si>
  <si>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</si>
  <si>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</si>
  <si>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</si>
  <si>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</si>
  <si>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</si>
  <si>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43-5061</t>
  </si>
  <si>
    <t>Production, Planning, and Expediting Clerks</t>
  </si>
  <si>
    <t>43-5071</t>
  </si>
  <si>
    <t>Shipping, Receiving, and Traffic Clerks</t>
  </si>
  <si>
    <t>43-5081</t>
  </si>
  <si>
    <t>Stock Clerks and Order Fillers</t>
  </si>
  <si>
    <t>43-5111</t>
  </si>
  <si>
    <t>Weighers, Measurers, Checkers, and Samplers, Recordkeeping</t>
  </si>
  <si>
    <t>43-6011</t>
  </si>
  <si>
    <t>Executive Secretaries and Executive Administrative Assistants</t>
  </si>
  <si>
    <t>43-6012</t>
  </si>
  <si>
    <t>Legal Secretaries</t>
  </si>
  <si>
    <t>43-6013</t>
  </si>
  <si>
    <t>Medical Secretaries</t>
  </si>
  <si>
    <t>43-6014</t>
  </si>
  <si>
    <t>Secretaries and Administrative Assistants, Except Legal, Medical, and Executive</t>
  </si>
  <si>
    <t>43-9011</t>
  </si>
  <si>
    <t>Computer Operators</t>
  </si>
  <si>
    <t>43-9021</t>
  </si>
  <si>
    <t>Data Entry Keyers</t>
  </si>
  <si>
    <t>43-9022</t>
  </si>
  <si>
    <t>Word Processors and Typists</t>
  </si>
  <si>
    <t>43-9031</t>
  </si>
  <si>
    <t>Desktop Publishers</t>
  </si>
  <si>
    <t>43-9041</t>
  </si>
  <si>
    <t>Insurance Claims and Policy Processing Clerks</t>
  </si>
  <si>
    <t>43-9051</t>
  </si>
  <si>
    <t>Mail Clerks and Mail Machine Operators, Except Postal Service</t>
  </si>
  <si>
    <t>43-9061</t>
  </si>
  <si>
    <t>Office Clerks, General</t>
  </si>
  <si>
    <t>43-9071</t>
  </si>
  <si>
    <t>Office Machine Operators, Except Computer</t>
  </si>
  <si>
    <t>43-9081</t>
  </si>
  <si>
    <t>Proofreaders and Copy Markers</t>
  </si>
  <si>
    <t>43-9111</t>
  </si>
  <si>
    <t>Statistical Assistants</t>
  </si>
  <si>
    <t>45-1011</t>
  </si>
  <si>
    <t>First-Line Supervisors of Farming, Fishing, and Forestry Workers</t>
  </si>
  <si>
    <t>45-2011</t>
  </si>
  <si>
    <t>Agricultural Inspectors</t>
  </si>
  <si>
    <t>45-2021</t>
  </si>
  <si>
    <t>Animal Breeders</t>
  </si>
  <si>
    <t>45-2041</t>
  </si>
  <si>
    <t>Graders and Sorters, Agricultural Products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</si>
  <si>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</si>
  <si>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</si>
  <si>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</si>
  <si>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</si>
  <si>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</si>
  <si>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Farm, Ranch, and Aquacultural Animals</t>
  </si>
  <si>
    <t>45-3011</t>
  </si>
  <si>
    <t>Fishers and Related Fishing Workers</t>
  </si>
  <si>
    <t>45-3021</t>
  </si>
  <si>
    <t>Hunters and Trappers</t>
  </si>
  <si>
    <t>45-4011</t>
  </si>
  <si>
    <t>Forest and Conservation Workers</t>
  </si>
  <si>
    <t>45-4021</t>
  </si>
  <si>
    <t>Fallers</t>
  </si>
  <si>
    <t>45-4022</t>
  </si>
  <si>
    <t>Logging Equipment Operators</t>
  </si>
  <si>
    <t>45-4023</t>
  </si>
  <si>
    <t>Log Graders and Scalers</t>
  </si>
  <si>
    <t>47-1011</t>
  </si>
  <si>
    <t>First-Line Supervisors of Construction Trades and Extraction Workers</t>
  </si>
  <si>
    <t>47-2011</t>
  </si>
  <si>
    <t>Boilermakers</t>
  </si>
  <si>
    <t>47-2021</t>
  </si>
  <si>
    <t>Brickmasons and Blockmasons</t>
  </si>
  <si>
    <t>47-2022</t>
  </si>
  <si>
    <t>Stonemasons</t>
  </si>
  <si>
    <t>47-2031</t>
  </si>
  <si>
    <t>Carpenters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</si>
  <si>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</si>
  <si>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</si>
  <si>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</si>
  <si>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</si>
  <si>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</si>
  <si>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</si>
  <si>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47-2044</t>
  </si>
  <si>
    <t>Tile and Marble Setters</t>
  </si>
  <si>
    <t>47-2051</t>
  </si>
  <si>
    <t>Cement Masons and Concrete Finishers</t>
  </si>
  <si>
    <t>47-2053</t>
  </si>
  <si>
    <t>Terrazzo Workers and Finishers</t>
  </si>
  <si>
    <t>47-2061</t>
  </si>
  <si>
    <t>Construction Laborers</t>
  </si>
  <si>
    <t>47-2071</t>
  </si>
  <si>
    <t>Paving, Surfacing, and Tamping Equipment Operators</t>
  </si>
  <si>
    <t>47-2072</t>
  </si>
  <si>
    <t>Pile-Driver Operators</t>
  </si>
  <si>
    <t>47-2073</t>
  </si>
  <si>
    <t>Operating Engineers and Other Construction Equipment Operators</t>
  </si>
  <si>
    <t>47-2081</t>
  </si>
  <si>
    <t>Drywall and Ceiling Tile Installers</t>
  </si>
  <si>
    <t>47-2082</t>
  </si>
  <si>
    <t>Tapers</t>
  </si>
  <si>
    <t>47-2111</t>
  </si>
  <si>
    <t>Electricians</t>
  </si>
  <si>
    <t>47-2121</t>
  </si>
  <si>
    <t>Glaziers</t>
  </si>
  <si>
    <t>47-2131</t>
  </si>
  <si>
    <t>Insulation Workers, Floor, Ceiling, and Wall</t>
  </si>
  <si>
    <t>47-2132</t>
  </si>
  <si>
    <t>Insulation Workers, Mechanical</t>
  </si>
  <si>
    <t>47-2141</t>
  </si>
  <si>
    <t>Painters, Construction and Maintenance</t>
  </si>
  <si>
    <t>47-2142</t>
  </si>
  <si>
    <t>Paperhangers</t>
  </si>
  <si>
    <t>47-2151</t>
  </si>
  <si>
    <t>Pipelayers</t>
  </si>
  <si>
    <t>47-2152</t>
  </si>
  <si>
    <t>Plumbers, Pipefitters, and Steamfitters</t>
  </si>
  <si>
    <t>47-2161</t>
  </si>
  <si>
    <t>Plasterers and Stucco Masons</t>
  </si>
  <si>
    <t>47-2171</t>
  </si>
  <si>
    <t>Reinforcing Iron and Rebar Workers</t>
  </si>
  <si>
    <t>47-2181</t>
  </si>
  <si>
    <t>Roofers</t>
  </si>
  <si>
    <t>47-2211</t>
  </si>
  <si>
    <t>Sheet Metal Workers</t>
  </si>
  <si>
    <t>47-2221</t>
  </si>
  <si>
    <t>Structural Iron and Steel Workers</t>
  </si>
  <si>
    <t>47-2231</t>
  </si>
  <si>
    <t>Solar Photovoltaic Installers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</si>
  <si>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</si>
  <si>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</si>
  <si>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</si>
  <si>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</si>
  <si>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</si>
  <si>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</si>
  <si>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</si>
  <si>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</si>
  <si>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</si>
  <si>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</si>
  <si>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</si>
  <si>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</si>
  <si>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47-4011</t>
  </si>
  <si>
    <t>Construction and Building Inspectors</t>
  </si>
  <si>
    <t>47-4021</t>
  </si>
  <si>
    <t>Elevator Installers and Repairers</t>
  </si>
  <si>
    <t>47-4031</t>
  </si>
  <si>
    <t>Fence Erectors</t>
  </si>
  <si>
    <t>47-4041</t>
  </si>
  <si>
    <t>Hazardous Materials Removal Workers</t>
  </si>
  <si>
    <t>47-4051</t>
  </si>
  <si>
    <t>Highway Maintenance Workers</t>
  </si>
  <si>
    <t>47-4061</t>
  </si>
  <si>
    <t>Rail-Track Laying and Maintenance Equipment Operators</t>
  </si>
  <si>
    <t>47-4071</t>
  </si>
  <si>
    <t>Septic Tank Servicers and Sewer Pipe Cleaners</t>
  </si>
  <si>
    <t>47-4091</t>
  </si>
  <si>
    <t>Segmental Pavers</t>
  </si>
  <si>
    <t>47-4099</t>
  </si>
  <si>
    <t>Construction and Related Workers, All Other</t>
  </si>
  <si>
    <t>47-5011</t>
  </si>
  <si>
    <t>Derrick Operators, Oil and Gas</t>
  </si>
  <si>
    <t>47-5012</t>
  </si>
  <si>
    <t>Rotary Drill Operators, Oil and Gas</t>
  </si>
  <si>
    <t>47-5013</t>
  </si>
  <si>
    <t>Service Unit Operators, Oil, Gas, and Mining</t>
  </si>
  <si>
    <t>47-5021</t>
  </si>
  <si>
    <t>Earth Drillers, Except Oil and Gas</t>
  </si>
  <si>
    <t>47-5031</t>
  </si>
  <si>
    <t>Explosives Workers, Ordnance Handling Experts, and Blasters</t>
  </si>
  <si>
    <t>47-5041</t>
  </si>
  <si>
    <t>Continuous Mining Machine Operators</t>
  </si>
  <si>
    <t>47-5042</t>
  </si>
  <si>
    <t>Mine Cutting and Channeling Machine Operators</t>
  </si>
  <si>
    <t>47-5051</t>
  </si>
  <si>
    <t>Rock Splitters, Quarry</t>
  </si>
  <si>
    <t>47-5061</t>
  </si>
  <si>
    <t>Roof Bolters, Mining</t>
  </si>
  <si>
    <t>47-5071</t>
  </si>
  <si>
    <t>Roustabouts, Oil and Gas</t>
  </si>
  <si>
    <t>47-5081</t>
  </si>
  <si>
    <t>Helpers--Extraction Workers</t>
  </si>
  <si>
    <t>49-1011</t>
  </si>
  <si>
    <t>First-Line Supervisors of Mechanics, Installers, and Repairers</t>
  </si>
  <si>
    <t>49-2011</t>
  </si>
  <si>
    <t>Computer, Automated Teller, and Office Machine Repairers</t>
  </si>
  <si>
    <t>49-2021</t>
  </si>
  <si>
    <t>Radio, Cellular, and Tower Equipment Installers and Repairers</t>
  </si>
  <si>
    <t>49-2022</t>
  </si>
  <si>
    <t>Telecommunications Equipment Installers and Repairers, Except Line Installers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</si>
  <si>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</si>
  <si>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</si>
  <si>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</si>
  <si>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</si>
  <si>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</si>
  <si>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</si>
  <si>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</si>
  <si>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</si>
  <si>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</si>
  <si>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</si>
  <si>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</si>
  <si>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</si>
  <si>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49-2097</t>
  </si>
  <si>
    <t>Electronic Home Entertainment Equipment Installers and Repairers</t>
  </si>
  <si>
    <t>49-2098</t>
  </si>
  <si>
    <t>Security and Fire Alarm Systems Installers</t>
  </si>
  <si>
    <t>49-3011</t>
  </si>
  <si>
    <t>Aircraft Mechanics and Service Technicians</t>
  </si>
  <si>
    <t>49-3021</t>
  </si>
  <si>
    <t>Automotive Body and Related Repairers</t>
  </si>
  <si>
    <t>49-3022</t>
  </si>
  <si>
    <t>Automotive Glass Installers and Repairers</t>
  </si>
  <si>
    <t>49-3023</t>
  </si>
  <si>
    <t>Automotive Service Technicians and Mechanics</t>
  </si>
  <si>
    <t>49-3031</t>
  </si>
  <si>
    <t>Bus and Truck Mechanics and Diesel Engine Specialists</t>
  </si>
  <si>
    <t>49-3041</t>
  </si>
  <si>
    <t>Farm Equipment Mechanics and Service Technicians</t>
  </si>
  <si>
    <t>49-3042</t>
  </si>
  <si>
    <t>Mobile Heavy Equipment Mechanics, Except Engines</t>
  </si>
  <si>
    <t>49-3043</t>
  </si>
  <si>
    <t>Rail Car Repairers</t>
  </si>
  <si>
    <t>49-3051</t>
  </si>
  <si>
    <t>Motorboat Mechanics and Service Technicians</t>
  </si>
  <si>
    <t>49-3052</t>
  </si>
  <si>
    <t>Motorcycle Mechanics</t>
  </si>
  <si>
    <t>49-3053</t>
  </si>
  <si>
    <t>Outdoor Power Equipment and Other Small Engine Mechanics</t>
  </si>
  <si>
    <t>49-3091</t>
  </si>
  <si>
    <t>Bicycle Repairers</t>
  </si>
  <si>
    <t>49-3092</t>
  </si>
  <si>
    <t>Recreational Vehicle Service Technicians</t>
  </si>
  <si>
    <t>49-3093</t>
  </si>
  <si>
    <t>Tire Repairers and Changers</t>
  </si>
  <si>
    <t>49-9011</t>
  </si>
  <si>
    <t>Mechanical Door Repairers</t>
  </si>
  <si>
    <t>49-9012</t>
  </si>
  <si>
    <t>Control and Valve Installers and Repairers, Except Mechanical Door</t>
  </si>
  <si>
    <t>49-9021</t>
  </si>
  <si>
    <t>Heating, Air Conditioning, and Refrigeration Mechanics and Installers</t>
  </si>
  <si>
    <t>49-9031</t>
  </si>
  <si>
    <t>Home Appliance Repairers</t>
  </si>
  <si>
    <t>49-9041</t>
  </si>
  <si>
    <t>Industrial Machinery Mechanics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</si>
  <si>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</si>
  <si>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</si>
  <si>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</si>
  <si>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</si>
  <si>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</si>
  <si>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</si>
  <si>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49-9051</t>
  </si>
  <si>
    <t>Electrical Power-Line Installers and Repairers</t>
  </si>
  <si>
    <t>49-9052</t>
  </si>
  <si>
    <t>Telecommunications Line Installers and Repairers</t>
  </si>
  <si>
    <t>49-9061</t>
  </si>
  <si>
    <t>Camera and Photographic Equipment Repairers</t>
  </si>
  <si>
    <t>49-9062</t>
  </si>
  <si>
    <t>Medical Equipment Repairers</t>
  </si>
  <si>
    <t>49-9063</t>
  </si>
  <si>
    <t>Musical Instrument Repairers and Tuners</t>
  </si>
  <si>
    <t>49-9064</t>
  </si>
  <si>
    <t>Watch Repairers</t>
  </si>
  <si>
    <t>49-9071</t>
  </si>
  <si>
    <t>Maintenance and Repair Workers, General</t>
  </si>
  <si>
    <t>49-9081</t>
  </si>
  <si>
    <t>Wind Turbine Service Technicians</t>
  </si>
  <si>
    <t>49-9091</t>
  </si>
  <si>
    <t>Coin, Vending, and Amusement Machine Servicers and Repairers</t>
  </si>
  <si>
    <t>49-9092</t>
  </si>
  <si>
    <t>Commercial Divers</t>
  </si>
  <si>
    <t>49-9093</t>
  </si>
  <si>
    <t>Fabric Menders, Except Garment</t>
  </si>
  <si>
    <t>49-9094</t>
  </si>
  <si>
    <t>Locksmiths and Safe Repairers</t>
  </si>
  <si>
    <t>49-9095</t>
  </si>
  <si>
    <t>Manufactured Building and Mobile Home Installers</t>
  </si>
  <si>
    <t>49-9096</t>
  </si>
  <si>
    <t>Riggers</t>
  </si>
  <si>
    <t>49-9097</t>
  </si>
  <si>
    <t>Signal and Track Switch Repairers</t>
  </si>
  <si>
    <t>49-9098</t>
  </si>
  <si>
    <t>Helpers--Installation, Maintenance, and Repair Workers</t>
  </si>
  <si>
    <t>49-9099</t>
  </si>
  <si>
    <t>Installation, Maintenance, and Repair Workers, All Other</t>
  </si>
  <si>
    <t>51-1011</t>
  </si>
  <si>
    <t>First-Line Supervisors of Production and Operating Workers</t>
  </si>
  <si>
    <t>51-2011</t>
  </si>
  <si>
    <t>Aircraft Structure, Surfaces, Rigging, and Systems Assemblers</t>
  </si>
  <si>
    <t>51-2021</t>
  </si>
  <si>
    <t>Coil Winders, Tapers, and Finishers</t>
  </si>
  <si>
    <t>51-2022</t>
  </si>
  <si>
    <t>Electrical and Electronic Equipment Assemblers</t>
  </si>
  <si>
    <t>51-2023</t>
  </si>
  <si>
    <t>Electromechanical Equipment Assemblers</t>
  </si>
  <si>
    <t>51-2031</t>
  </si>
  <si>
    <t>Engine and Other Machine Assemblers</t>
  </si>
  <si>
    <t>51-2041</t>
  </si>
  <si>
    <t>Structural Metal Fabricators and Fitters</t>
  </si>
  <si>
    <t>51-2091</t>
  </si>
  <si>
    <t>Fiberglass Laminators and Fabricators</t>
  </si>
  <si>
    <t>51-2092</t>
  </si>
  <si>
    <t>Team Assemblers</t>
  </si>
  <si>
    <t>51-2093</t>
  </si>
  <si>
    <t>Timing Device Assemblers and Adjusters</t>
  </si>
  <si>
    <t>51-3011</t>
  </si>
  <si>
    <t>Bakers</t>
  </si>
  <si>
    <t>51-3021</t>
  </si>
  <si>
    <t>Butchers and Meat Cutters</t>
  </si>
  <si>
    <t>51-3022</t>
  </si>
  <si>
    <t>Meat, Poultry, and Fish Cutters and Trimmers</t>
  </si>
  <si>
    <t>51-3023</t>
  </si>
  <si>
    <t>Slaughterers and Meat Packers</t>
  </si>
  <si>
    <t>51-3091</t>
  </si>
  <si>
    <t>Food and Tobacco Roasting, Baking, and Drying Machine Operators and Tenders</t>
  </si>
  <si>
    <t>51-3092</t>
  </si>
  <si>
    <t>Food Batchmakers</t>
  </si>
  <si>
    <t>51-3093</t>
  </si>
  <si>
    <t>Food Cooking Machine Operators and Tenders</t>
  </si>
  <si>
    <t>51-4011</t>
  </si>
  <si>
    <t>Computer-Controlled Machine Tool Operators, Metal and Plastic</t>
  </si>
  <si>
    <t>51-4012</t>
  </si>
  <si>
    <t>Computer Numerically Controlled Machine Tool Programmers, Metal and Plastic</t>
  </si>
  <si>
    <t>51-4021</t>
  </si>
  <si>
    <t>Extruding and Drawing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</si>
  <si>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</si>
  <si>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</si>
  <si>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</si>
  <si>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</si>
  <si>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</si>
  <si>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</si>
  <si>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</si>
  <si>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</si>
  <si>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</si>
  <si>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</si>
  <si>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</si>
  <si>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</si>
  <si>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</si>
  <si>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</si>
  <si>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51-4041</t>
  </si>
  <si>
    <t>Machinists</t>
  </si>
  <si>
    <t>51-4051</t>
  </si>
  <si>
    <t>Metal-Refining Furnace Operators and Tenders</t>
  </si>
  <si>
    <t>51-4052</t>
  </si>
  <si>
    <t>Pourers and Casters, Metal</t>
  </si>
  <si>
    <t>51-4061</t>
  </si>
  <si>
    <t>Model Makers, Metal and Plastic</t>
  </si>
  <si>
    <t>51-4062</t>
  </si>
  <si>
    <t>Patternmakers, Metal and Plastic</t>
  </si>
  <si>
    <t>51-4071</t>
  </si>
  <si>
    <t>Foundry Mold and Coremakers</t>
  </si>
  <si>
    <t>51-4072</t>
  </si>
  <si>
    <t>Molding, Coremaking, and Casting Machine Setters, Operators, and Tenders, Metal and Plastic</t>
  </si>
  <si>
    <t>51-4081</t>
  </si>
  <si>
    <t>Multiple Machine Tool Setters, Operators, and Tenders, Metal and Plastic</t>
  </si>
  <si>
    <t>51-4111</t>
  </si>
  <si>
    <t>Tool and Die Makers</t>
  </si>
  <si>
    <t>51-4121</t>
  </si>
  <si>
    <t>Welders, Cutters, Solderers, and Brazers</t>
  </si>
  <si>
    <t>51-4122</t>
  </si>
  <si>
    <t>Welding, Soldering, and Brazing Machine Setters, Operators, and Tenders</t>
  </si>
  <si>
    <t>51-4191</t>
  </si>
  <si>
    <t>Heat Treating Equipment Setters, Operators, and Tenders, Metal and Plastic</t>
  </si>
  <si>
    <t>51-4192</t>
  </si>
  <si>
    <t>Layout Workers, Metal and Plastic</t>
  </si>
  <si>
    <t>51-4193</t>
  </si>
  <si>
    <t>Plating and Coating Machine Setters, Operators, and Tenders, Metal and Plastic</t>
  </si>
  <si>
    <t>51-4194</t>
  </si>
  <si>
    <t>Tool Grinders, Filers, and Sharpeners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</si>
  <si>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</si>
  <si>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</si>
  <si>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</si>
  <si>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</si>
  <si>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</si>
  <si>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</si>
  <si>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51-6011</t>
  </si>
  <si>
    <t>Laundry and Dry-Cleaning Workers</t>
  </si>
  <si>
    <t>51-6021</t>
  </si>
  <si>
    <t>Pressers, Textile, Garment, and Related Materials</t>
  </si>
  <si>
    <t>51-6031</t>
  </si>
  <si>
    <t>Sewing Machine Operators</t>
  </si>
  <si>
    <t>51-6041</t>
  </si>
  <si>
    <t>Shoe and Leather Workers and Repairers</t>
  </si>
  <si>
    <t>51-6042</t>
  </si>
  <si>
    <t>Shoe Machine Operators and Tenders</t>
  </si>
  <si>
    <t>51-6051</t>
  </si>
  <si>
    <t>Sewers, Hand</t>
  </si>
  <si>
    <t>51-6052</t>
  </si>
  <si>
    <t>Tailors, Dressmakers, and Custom Sewers</t>
  </si>
  <si>
    <t>51-6061</t>
  </si>
  <si>
    <t>Textile Bleaching and Dyeing Machine Operators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</si>
  <si>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</si>
  <si>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</si>
  <si>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</si>
  <si>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</si>
  <si>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</si>
  <si>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</si>
  <si>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51-6091</t>
  </si>
  <si>
    <t>Extruding and Forming Machine Setters, Operators, and Tenders, Synthetic and Glass Fibers</t>
  </si>
  <si>
    <t>51-6092</t>
  </si>
  <si>
    <t>Fabric and Apparel Patternmakers</t>
  </si>
  <si>
    <t>51-6093</t>
  </si>
  <si>
    <t>Upholsterers</t>
  </si>
  <si>
    <t>51-7011</t>
  </si>
  <si>
    <t>Cabinetmakers and Bench Carpenters</t>
  </si>
  <si>
    <t>51-7021</t>
  </si>
  <si>
    <t>Furniture Finishers</t>
  </si>
  <si>
    <t>51-7031</t>
  </si>
  <si>
    <t>Model Makers, Wood</t>
  </si>
  <si>
    <t>51-7032</t>
  </si>
  <si>
    <t>Patternmakers, Wood</t>
  </si>
  <si>
    <t>51-7041</t>
  </si>
  <si>
    <t>Sawing Machine Setters, Operators, and Tenders, Wood</t>
  </si>
  <si>
    <t>51-7042</t>
  </si>
  <si>
    <t>Woodworking Machine Setters, Operators, and Tenders, Except Sawing</t>
  </si>
  <si>
    <t>51-8011</t>
  </si>
  <si>
    <t>Nuclear Power Reactor Operators</t>
  </si>
  <si>
    <t>51-8012</t>
  </si>
  <si>
    <t>Power Distributors and Dispatchers</t>
  </si>
  <si>
    <t>51-8013</t>
  </si>
  <si>
    <t>Power Plant Operators</t>
  </si>
  <si>
    <t>51-8021</t>
  </si>
  <si>
    <t>Stationary Engineers and Boiler Operators</t>
  </si>
  <si>
    <t>51-8031</t>
  </si>
  <si>
    <t>Water and Wastewater Treatment Plant and System Operators</t>
  </si>
  <si>
    <t>51-8091</t>
  </si>
  <si>
    <t>Chemical Plant and System Operators</t>
  </si>
  <si>
    <t>51-8092</t>
  </si>
  <si>
    <t>Gas Plant Operators</t>
  </si>
  <si>
    <t>51-8093</t>
  </si>
  <si>
    <t>Petroleum Pump System Operators, Refinery Operators, and Gaugers</t>
  </si>
  <si>
    <t>51-8099</t>
  </si>
  <si>
    <t>Plant and System Operators, All Other</t>
  </si>
  <si>
    <t>51-9011</t>
  </si>
  <si>
    <t>Chemical Equipment Operators and Tenders</t>
  </si>
  <si>
    <t>51-9012</t>
  </si>
  <si>
    <t>Separating, Filtering, Clarifying, Precipitating, and Still Machine Setters, Operators, and Tenders</t>
  </si>
  <si>
    <t>51-9021</t>
  </si>
  <si>
    <t>Crushing, Grinding, and Polishing Machine Setters, Operators, and Tenders</t>
  </si>
  <si>
    <t>51-9022</t>
  </si>
  <si>
    <t>Grinding and Polishing Workers, Hand</t>
  </si>
  <si>
    <t>51-9023</t>
  </si>
  <si>
    <t>Mixing and Blending Machine Setters, Operators, and Tenders</t>
  </si>
  <si>
    <t>51-9031</t>
  </si>
  <si>
    <t>Cutters and Trimmers, Hand</t>
  </si>
  <si>
    <t>51-9032</t>
  </si>
  <si>
    <t>Cutting and Slicing Machine Setters, Operators, and Tenders</t>
  </si>
  <si>
    <t>51-9041</t>
  </si>
  <si>
    <t>Extruding, Forming, Pressing, and Compacting Machine Setters, Operators, and Tenders</t>
  </si>
  <si>
    <t>51-9051</t>
  </si>
  <si>
    <t>Furnace, Kiln, Oven, Drier, and Kettle Operators and Tenders</t>
  </si>
  <si>
    <t>51-9061</t>
  </si>
  <si>
    <t>Inspectors, Testers, Sorters, Samplers, and Weighers</t>
  </si>
  <si>
    <t>51-9071</t>
  </si>
  <si>
    <t>Jewelers and Precious Stone and Metal Workers</t>
  </si>
  <si>
    <t>51-9081</t>
  </si>
  <si>
    <t>Dental Laboratory Technicians</t>
  </si>
  <si>
    <t>51-9082</t>
  </si>
  <si>
    <t>Medical Appliance Technicians</t>
  </si>
  <si>
    <t>51-9083</t>
  </si>
  <si>
    <t>Ophthalmic Laboratory Technicians</t>
  </si>
  <si>
    <t>51-9111</t>
  </si>
  <si>
    <t>Packaging and Filling Machine Operators and Tenders</t>
  </si>
  <si>
    <t>51-9121</t>
  </si>
  <si>
    <t>Coating, Painting, and Spraying Machine Setters, Operators, and Tenders</t>
  </si>
  <si>
    <t>51-9122</t>
  </si>
  <si>
    <t>Painters, Transportation Equipment</t>
  </si>
  <si>
    <t>51-9123</t>
  </si>
  <si>
    <t>Painting, Coating, and Decorating Workers</t>
  </si>
  <si>
    <t>51-9141</t>
  </si>
  <si>
    <t>Semiconductor Processors</t>
  </si>
  <si>
    <t>51-9151</t>
  </si>
  <si>
    <t>Photographic Process Workers and Processing Machine Operators</t>
  </si>
  <si>
    <t>51-9191</t>
  </si>
  <si>
    <t>Adhesive Bonding Machine Operators and Tenders</t>
  </si>
  <si>
    <t>51-9192</t>
  </si>
  <si>
    <t>Cleaning, Washing, and Metal Pickling Equipment Operators and Tenders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</si>
  <si>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</si>
  <si>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</si>
  <si>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</si>
  <si>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</si>
  <si>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</si>
  <si>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</si>
  <si>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</si>
  <si>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</si>
  <si>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</si>
  <si>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</si>
  <si>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</si>
  <si>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</si>
  <si>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51-9199</t>
  </si>
  <si>
    <t>Production Workers, All Other</t>
  </si>
  <si>
    <t>53-1011</t>
  </si>
  <si>
    <t>Aircraft Cargo Handling Supervisors</t>
  </si>
  <si>
    <t>53-1021</t>
  </si>
  <si>
    <t>First-Line Supervisors of Helpers, Laborers, and Material Movers, Hand</t>
  </si>
  <si>
    <t>53-1031</t>
  </si>
  <si>
    <t>First-Line Supervisors of Transportation and Material-Moving Machine and Vehicle Operators</t>
  </si>
  <si>
    <t>53-2011</t>
  </si>
  <si>
    <t>Airline Pilots, Copilots, and Flight Engineers</t>
  </si>
  <si>
    <t>53-2012</t>
  </si>
  <si>
    <t>Commercial Pilots</t>
  </si>
  <si>
    <t>53-2021</t>
  </si>
  <si>
    <t>Air Traffic Controllers</t>
  </si>
  <si>
    <t>53-2022</t>
  </si>
  <si>
    <t>Airfield Operations Specialists</t>
  </si>
  <si>
    <t>53-2031</t>
  </si>
  <si>
    <t>Flight Attendants</t>
  </si>
  <si>
    <t>53-3011</t>
  </si>
  <si>
    <t>Ambulance Drivers and Attendants, Except Emergency Medical Technicians</t>
  </si>
  <si>
    <t>53-3021</t>
  </si>
  <si>
    <t>Bus Drivers, Transit and Intercity</t>
  </si>
  <si>
    <t>53-3022</t>
  </si>
  <si>
    <t>Bus Drivers, School or Special Client</t>
  </si>
  <si>
    <t>53-3031</t>
  </si>
  <si>
    <t>Driver/Sales Workers</t>
  </si>
  <si>
    <t>53-3032</t>
  </si>
  <si>
    <t>Heavy and Tractor-Trailer Truck Drivers</t>
  </si>
  <si>
    <t>53-3033</t>
  </si>
  <si>
    <t>Light Truck or Delivery Services Drivers</t>
  </si>
  <si>
    <t>53-3041</t>
  </si>
  <si>
    <t>Taxi Drivers and Chauffeurs</t>
  </si>
  <si>
    <t>53-4011</t>
  </si>
  <si>
    <t>Locomotive Engineers</t>
  </si>
  <si>
    <t>53-4012</t>
  </si>
  <si>
    <t>Locomotive Firers</t>
  </si>
  <si>
    <t>53-4013</t>
  </si>
  <si>
    <t>Rail Yard Engineers, Dinkey Operators, and Hostlers</t>
  </si>
  <si>
    <t>53-4021</t>
  </si>
  <si>
    <t>Railroad Brake, Signal, and Switch Operators</t>
  </si>
  <si>
    <t>53-4031</t>
  </si>
  <si>
    <t>Railroad Conductors and Yardmasters</t>
  </si>
  <si>
    <t>53-4041</t>
  </si>
  <si>
    <t>Subway and Streetcar Operators</t>
  </si>
  <si>
    <t>53-5011</t>
  </si>
  <si>
    <t>Sailors and Marine Oilers</t>
  </si>
  <si>
    <t>53-5021</t>
  </si>
  <si>
    <t>Captains, Mates, and Pilots of Water Vessels</t>
  </si>
  <si>
    <t>53-5022</t>
  </si>
  <si>
    <t>Motorboat Operators</t>
  </si>
  <si>
    <t>53-5031</t>
  </si>
  <si>
    <t>Ship Engineers</t>
  </si>
  <si>
    <t>53-6011</t>
  </si>
  <si>
    <t>Bridge and Lock Tenders</t>
  </si>
  <si>
    <t>53-6021</t>
  </si>
  <si>
    <t>Parking Lot Attendants</t>
  </si>
  <si>
    <t>53-6031</t>
  </si>
  <si>
    <t>Automotive and Watercraft Service Attendants</t>
  </si>
  <si>
    <t>53-6041</t>
  </si>
  <si>
    <t>Traffic Technicians</t>
  </si>
  <si>
    <t>53-6051</t>
  </si>
  <si>
    <t>Transportation Inspectors</t>
  </si>
  <si>
    <t>53-6061</t>
  </si>
  <si>
    <t>Transportation Attendants, Except Flight Attendants</t>
  </si>
  <si>
    <t>53-7011</t>
  </si>
  <si>
    <t>Conveyor Operators and Tenders</t>
  </si>
  <si>
    <t>53-7021</t>
  </si>
  <si>
    <t>Crane and Tower Operators</t>
  </si>
  <si>
    <t>53-7031</t>
  </si>
  <si>
    <t>Dredge Operators</t>
  </si>
  <si>
    <t>53-7032</t>
  </si>
  <si>
    <t>Excavating and Loading Machine and Dragline Operators</t>
  </si>
  <si>
    <t>53-7033</t>
  </si>
  <si>
    <t>Loading Machine Operators, Underground Mining</t>
  </si>
  <si>
    <t>53-7041</t>
  </si>
  <si>
    <t>Hoist and Winch Operators</t>
  </si>
  <si>
    <t>53-7051</t>
  </si>
  <si>
    <t>Industrial Truck and Tractor Operators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</si>
  <si>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</si>
  <si>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</si>
  <si>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</si>
  <si>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</si>
  <si>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</si>
  <si>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</si>
  <si>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</si>
  <si>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</si>
  <si>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53-7071</t>
  </si>
  <si>
    <t>Gas Compressor and Gas Pumping Station Operators</t>
  </si>
  <si>
    <t>53-7072</t>
  </si>
  <si>
    <t>Pump Operators, Except Wellhead Pumpers</t>
  </si>
  <si>
    <t>53-7073</t>
  </si>
  <si>
    <t>Wellhead Pumpers</t>
  </si>
  <si>
    <t>53-7081</t>
  </si>
  <si>
    <t>Refuse and Recyclable Material Collectors</t>
  </si>
  <si>
    <t>53-7111</t>
  </si>
  <si>
    <t>Mine Shuttle Car Operators</t>
  </si>
  <si>
    <t>53-7121</t>
  </si>
  <si>
    <t>Tank Car, Truck, and Ship Loaders</t>
  </si>
  <si>
    <t>11-2011</t>
  </si>
  <si>
    <t>11-2021</t>
  </si>
  <si>
    <t>11-2022</t>
  </si>
  <si>
    <t>11-2031</t>
  </si>
  <si>
    <t>11-3011</t>
  </si>
  <si>
    <t>11-3021</t>
  </si>
  <si>
    <t>11-3031</t>
  </si>
  <si>
    <t>11-3051</t>
  </si>
  <si>
    <t>11-3061</t>
  </si>
  <si>
    <t>11-3071</t>
  </si>
  <si>
    <t>11-3111</t>
  </si>
  <si>
    <t>11-3121</t>
  </si>
  <si>
    <t>11-3131</t>
  </si>
  <si>
    <t>11-9013</t>
  </si>
  <si>
    <t>11-9021</t>
  </si>
  <si>
    <t>11-9031</t>
  </si>
  <si>
    <t>11-9032</t>
  </si>
  <si>
    <t>11-9033</t>
  </si>
  <si>
    <t>11-9039</t>
  </si>
  <si>
    <t>11-9041</t>
  </si>
  <si>
    <t>11-9051</t>
  </si>
  <si>
    <t>11-9061</t>
  </si>
  <si>
    <t>11-9071</t>
  </si>
  <si>
    <t>11-9081</t>
  </si>
  <si>
    <t>11-9111</t>
  </si>
  <si>
    <t>11-9121</t>
  </si>
  <si>
    <t>11-9131</t>
  </si>
  <si>
    <t>11-9141</t>
  </si>
  <si>
    <t>11-9151</t>
  </si>
  <si>
    <t>11-9161</t>
  </si>
  <si>
    <t>11-9199</t>
  </si>
  <si>
    <t>SOC Code</t>
  </si>
  <si>
    <t>Occupation Title</t>
  </si>
  <si>
    <t>Language Modeling AIOE</t>
  </si>
  <si>
    <t>Elementary and Secondary Schools</t>
  </si>
  <si>
    <t>Management of Companies and Enterprises</t>
  </si>
  <si>
    <t>Beer, Wine, and Liquor Stores</t>
  </si>
  <si>
    <t>Building Material and Supplies Dealers</t>
  </si>
  <si>
    <t>Tobacco Manufacturing</t>
  </si>
  <si>
    <t>Natural Gas Distribution</t>
  </si>
  <si>
    <t>Communications Equipment Manufacturing</t>
  </si>
  <si>
    <t>Sporting Goods, Hobby, and Musical Instrument Stores</t>
  </si>
  <si>
    <t>Other Ambulatory Health Care Services</t>
  </si>
  <si>
    <t>Electronic and Precision Equipment Repair and Maintenance</t>
  </si>
  <si>
    <t>Other Food Manufacturing</t>
  </si>
  <si>
    <t>Wholesale Electronic Markets and Agents and Brokers</t>
  </si>
  <si>
    <t>Other Furniture Related Product Manufacturing</t>
  </si>
  <si>
    <t>Converted Paper Product Manufacturing</t>
  </si>
  <si>
    <t>Junior Colleges</t>
  </si>
  <si>
    <t>3250A1</t>
  </si>
  <si>
    <t>Chemical Manufacturing (3251, 3252, 3253, and 3259 only)</t>
  </si>
  <si>
    <t>Spectator Sports</t>
  </si>
  <si>
    <t>Semiconductor and Other Electronic Component Manufacturing</t>
  </si>
  <si>
    <t>4240A2</t>
  </si>
  <si>
    <t>Merchant Wholesalers, Nondurable Goods (4242 and 4246 only)</t>
  </si>
  <si>
    <t>Religious Organizations</t>
  </si>
  <si>
    <t>Other Support Services</t>
  </si>
  <si>
    <t>Child Day Care Services</t>
  </si>
  <si>
    <t>Federal Executive Branch (OES Designation)</t>
  </si>
  <si>
    <t>Support Activities for Rail Transportation</t>
  </si>
  <si>
    <t>Automobile Dealers</t>
  </si>
  <si>
    <t>Personal Care Services</t>
  </si>
  <si>
    <t>Foundries</t>
  </si>
  <si>
    <t>Pulp, Paper, and Paperboard Mills</t>
  </si>
  <si>
    <t>Other Electrical Equipment and Component Manufacturing</t>
  </si>
  <si>
    <t>Fruit and Vegetable Preserving and Specialty Food Manufacturing</t>
  </si>
  <si>
    <t>Direct Selling Establishments</t>
  </si>
  <si>
    <t>Motor Vehicle Body and Trailer Manufacturing</t>
  </si>
  <si>
    <t>Other Miscellaneous Store Retailers</t>
  </si>
  <si>
    <t>Land Subdivision</t>
  </si>
  <si>
    <t>Petroleum and Coal Products Manufacturing</t>
  </si>
  <si>
    <t>Social Advocacy Organizations</t>
  </si>
  <si>
    <t>Couriers and Express Delivery Services</t>
  </si>
  <si>
    <t>Local Government, excluding schools and hospitals (OES Designation)</t>
  </si>
  <si>
    <t>Nonscheduled Air Transportation</t>
  </si>
  <si>
    <t>Grantmaking and Giving Services</t>
  </si>
  <si>
    <t>Pipeline Transportation of Natural Gas</t>
  </si>
  <si>
    <t>Electrical Equipment Manufacturing</t>
  </si>
  <si>
    <t>Data Processing, Hosting, and Related Services</t>
  </si>
  <si>
    <t>Furniture Stores</t>
  </si>
  <si>
    <t>Facilities Support Services</t>
  </si>
  <si>
    <t>Automotive Parts, Accessories, and Tire Stores</t>
  </si>
  <si>
    <t>Colleges, Universities, and Professional Schools</t>
  </si>
  <si>
    <t>Employment Services</t>
  </si>
  <si>
    <t>Waste Treatment and Disposal</t>
  </si>
  <si>
    <t>Apparel, Piece Goods, and Notions Merchant Wholesalers</t>
  </si>
  <si>
    <t>Deep Sea, Coastal, and Great Lakes Water Transportation</t>
  </si>
  <si>
    <t>Specialty (except Psychiatric and Substance Abuse) Hospitals</t>
  </si>
  <si>
    <t>Business Schools and Computer and Management Training</t>
  </si>
  <si>
    <t>4240A1</t>
  </si>
  <si>
    <t>Merchant Wholesalers, Nondurable Goods (4244 and 4248 only)</t>
  </si>
  <si>
    <t>Support Activities for Crop Production</t>
  </si>
  <si>
    <t>Other Textile Product Mills</t>
  </si>
  <si>
    <t>Warehousing and Storage</t>
  </si>
  <si>
    <t>Printing and Related Support Activities</t>
  </si>
  <si>
    <t>Building Equipment Contractors</t>
  </si>
  <si>
    <t>Fabric Mills</t>
  </si>
  <si>
    <t>Other Wood Product Manufacturing</t>
  </si>
  <si>
    <t>Bakeries and Tortilla Manufacturing</t>
  </si>
  <si>
    <t>Beverage Manufacturing</t>
  </si>
  <si>
    <t>Home Furnishings Stores</t>
  </si>
  <si>
    <t>Cable and Other Subscription Programming</t>
  </si>
  <si>
    <t>Other Miscellaneous Manufacturing</t>
  </si>
  <si>
    <t>Other Investment Pools and Funds</t>
  </si>
  <si>
    <t>Gambling Industries</t>
  </si>
  <si>
    <t>Other Motor Vehicle Dealers</t>
  </si>
  <si>
    <t>Business Support Services</t>
  </si>
  <si>
    <t>Rubber Product Manufacturing</t>
  </si>
  <si>
    <t>Residential Building Construction</t>
  </si>
  <si>
    <t>Travel Arrangement and Reservation Services</t>
  </si>
  <si>
    <t>Other Pipeline Transportation</t>
  </si>
  <si>
    <t>Nondepository Credit Intermediation</t>
  </si>
  <si>
    <t>Electronics and Appliance Stores</t>
  </si>
  <si>
    <t>Support Activities for Air Transportation</t>
  </si>
  <si>
    <t>Nonresidential Building Construction</t>
  </si>
  <si>
    <t>4240A3</t>
  </si>
  <si>
    <t>Merchant Wholesalers, Nondurable Goods (4241, 4247, and 4249 only)</t>
  </si>
  <si>
    <t>Performing Arts Companies</t>
  </si>
  <si>
    <t>Navigational, Measuring, Electromedical, and Control Instruments Manufacturing</t>
  </si>
  <si>
    <t>Sound Recording Industries</t>
  </si>
  <si>
    <t>Support Activities for Road Transportation</t>
  </si>
  <si>
    <t>Cut and Sew Apparel Manufacturing</t>
  </si>
  <si>
    <t>Other Information Services</t>
  </si>
  <si>
    <t>Offices of Physicians</t>
  </si>
  <si>
    <t>Newspaper, Periodical, Book, and Directory Publishers</t>
  </si>
  <si>
    <t>Local Messengers and Local Delivery</t>
  </si>
  <si>
    <t>Death Care Services</t>
  </si>
  <si>
    <t>Medical Equipment and Supplies Manufacturing</t>
  </si>
  <si>
    <t>Outpatient Care Centers</t>
  </si>
  <si>
    <t>Electronic Shopping and Mail-Order Houses</t>
  </si>
  <si>
    <t>Computer Systems Design and Related Services</t>
  </si>
  <si>
    <t>School and Employee Bus Transportation</t>
  </si>
  <si>
    <t>Motion Picture and Video Industries</t>
  </si>
  <si>
    <t>Real Estate</t>
  </si>
  <si>
    <t>Sawmills and Wood Preservation</t>
  </si>
  <si>
    <t>Plastics Product Manufacturing</t>
  </si>
  <si>
    <t>Lawn and Garden Equipment and Supplies Stores</t>
  </si>
  <si>
    <t>Alumina and Aluminum Production and Processing</t>
  </si>
  <si>
    <t>Lessors of Nonfinancial Intangible Assets (except Copyrighted Works)</t>
  </si>
  <si>
    <t>Legal Services</t>
  </si>
  <si>
    <t>Professional and Commercial Equipment and Supplies Merchant Wholesalers</t>
  </si>
  <si>
    <t>Special Food Services</t>
  </si>
  <si>
    <t>Audio and Video Equipment Manufacturing</t>
  </si>
  <si>
    <t>Promoters of Performing Arts, Sports, and Similar Events</t>
  </si>
  <si>
    <t>3320A1</t>
  </si>
  <si>
    <t>Fabricated Metal Product Manufacturing (3321, 3322, 3325, 3326, and 3329 only)</t>
  </si>
  <si>
    <t>4230A1</t>
  </si>
  <si>
    <t>Merchant Wholesalers, Durable Goods (4232, 4233, 4235, 4236, 4237, and 4239 only)</t>
  </si>
  <si>
    <t>Commercial and Industrial Machinery and Equipment (except Automotive and Electronic) Repair and Maintenance</t>
  </si>
  <si>
    <t>State Government, excluding schools and hospitals (OES Designation)</t>
  </si>
  <si>
    <t>Motor Vehicle Parts Manufacturing</t>
  </si>
  <si>
    <t>Aerospace Product and Parts Manufacturing</t>
  </si>
  <si>
    <t>Oil and Gas Extraction</t>
  </si>
  <si>
    <t>4450A1</t>
  </si>
  <si>
    <t>Food and Beverage Stores (4451 and 4452 only)</t>
  </si>
  <si>
    <t>Building Finishing Contractors</t>
  </si>
  <si>
    <t>Machine Shops; Turned Product; and Screw, Nut, and Bolt Manufacturing</t>
  </si>
  <si>
    <t>3370A1</t>
  </si>
  <si>
    <t>Furniture and Related Product Manufacturing (3371 and 3372 only)</t>
  </si>
  <si>
    <t>Charter Bus Industry</t>
  </si>
  <si>
    <t>Waste Collection</t>
  </si>
  <si>
    <t>Other Support Activities for Transportation</t>
  </si>
  <si>
    <t>5320A1</t>
  </si>
  <si>
    <t>Rental and Leasing Services (5322, 5323, and 5324 only)</t>
  </si>
  <si>
    <t>Support Activities for Mining</t>
  </si>
  <si>
    <t>Other Schools and Instruction</t>
  </si>
  <si>
    <t>5220A1</t>
  </si>
  <si>
    <t>Credit Intermediation and Related Activities (5221 And 5223 only)</t>
  </si>
  <si>
    <t>Scheduled Air Transportation</t>
  </si>
  <si>
    <t>Other Residential Care Facilities</t>
  </si>
  <si>
    <t>Securities, Commodity Contracts, and Other Financial Investments and Related Activities</t>
  </si>
  <si>
    <t>3320A2</t>
  </si>
  <si>
    <t>Fabricated Metal Product Manufacturing (3323 and 3324 only)</t>
  </si>
  <si>
    <t>Coating, Engraving, Heat Treating, and Allied Activities</t>
  </si>
  <si>
    <t>General Medical and Surgical Hospitals</t>
  </si>
  <si>
    <t>Electric Power Generation, Transmission and Distribution</t>
  </si>
  <si>
    <t>Seafood Product Preparation and Packaging</t>
  </si>
  <si>
    <t>Nonmetallic Mineral Mining and Quarrying</t>
  </si>
  <si>
    <t>Educational Support Services</t>
  </si>
  <si>
    <t>Motor Vehicle and Motor Vehicle Parts and Supplies Merchant Wholesalers</t>
  </si>
  <si>
    <t>Personal and Household Goods Repair and Maintenance</t>
  </si>
  <si>
    <t>Rail Transportation</t>
  </si>
  <si>
    <t>Nonferrous Metal (except Aluminum) Production and Processing</t>
  </si>
  <si>
    <t>Traveler Accommodation</t>
  </si>
  <si>
    <t>Scientific Research and Development Services</t>
  </si>
  <si>
    <t>Pharmaceutical and Medicine Manufacturing</t>
  </si>
  <si>
    <t>Advertising, Public Relations, and Related Services</t>
  </si>
  <si>
    <t>4530A1</t>
  </si>
  <si>
    <t>Miscellaneous Store Retailers (4532 and 4533 only)</t>
  </si>
  <si>
    <t>Individual and Family Services</t>
  </si>
  <si>
    <t>Commercial and Service Industry Machinery Manufacturing</t>
  </si>
  <si>
    <t>Museums, Historical Sites, and Similar Institutions</t>
  </si>
  <si>
    <t>Dairy Product Manufacturing</t>
  </si>
  <si>
    <t>Animal Slaughtering and Processing</t>
  </si>
  <si>
    <t>Foundation, Structure, and Building Exterior Contractors</t>
  </si>
  <si>
    <t>Nonmetallic Mineral Product Manufacturing</t>
  </si>
  <si>
    <t>Civic and Social Organizations</t>
  </si>
  <si>
    <t>Other Heavy and Civil Engineering Construction</t>
  </si>
  <si>
    <t>Telecommunications</t>
  </si>
  <si>
    <t>Nursing Care Facilities (Skilled Nursing Facilities)</t>
  </si>
  <si>
    <t>Architectural, Engineering, and Related Services</t>
  </si>
  <si>
    <t>Independent Artists, Writers, and Performers</t>
  </si>
  <si>
    <t>Remediation and Other Waste Management Services</t>
  </si>
  <si>
    <t>Water, Sewage and Other Systems</t>
  </si>
  <si>
    <t>Truck Transportation</t>
  </si>
  <si>
    <t>Investigation and Security Services</t>
  </si>
  <si>
    <t>Farm Product Raw Material Merchant Wholesalers</t>
  </si>
  <si>
    <t>Veneer, Plywood, and Engineered Wood Product Manufacturing</t>
  </si>
  <si>
    <t>Insurance Carriers</t>
  </si>
  <si>
    <t>Vocational Rehabilitation Services</t>
  </si>
  <si>
    <t>Specialized Design Services</t>
  </si>
  <si>
    <t>Amusement Parks and Arcades</t>
  </si>
  <si>
    <t>Electric Lighting Equipment Manufacturing</t>
  </si>
  <si>
    <t>Office Administrative Services</t>
  </si>
  <si>
    <t>Highway, Street, and Bridge Construction</t>
  </si>
  <si>
    <t>Freight Transportation Arrangement</t>
  </si>
  <si>
    <t>Health and Personal Care Stores</t>
  </si>
  <si>
    <t>Business, Professional, Labor, Political, and Similar Organizations</t>
  </si>
  <si>
    <t>Continuing Care Retirement Communities and Assisted Living Facilities for the Elderly</t>
  </si>
  <si>
    <t>Services to Buildings and Dwellings</t>
  </si>
  <si>
    <t>Psychiatric and Substance Abuse Hospitals</t>
  </si>
  <si>
    <t>Offices of Other Health Practitioners</t>
  </si>
  <si>
    <t>Residential Intellectual and Developmental Disability, Mental Health, and Substance Abuse Facilities</t>
  </si>
  <si>
    <t>Motor Vehicle Manufacturing</t>
  </si>
  <si>
    <t>Support Activities for Water Transportation</t>
  </si>
  <si>
    <t>Other Specialty Trade Contractors</t>
  </si>
  <si>
    <t>Utility System Construction</t>
  </si>
  <si>
    <t>Engine, Turbine, and Power Transmission Equipment Manufacturing</t>
  </si>
  <si>
    <t>Technical and Trade Schools</t>
  </si>
  <si>
    <t>Animal Food Manufacturing</t>
  </si>
  <si>
    <t>Automotive Repair and Maintenance</t>
  </si>
  <si>
    <t>Drycleaning and Laundry Services</t>
  </si>
  <si>
    <t>Accounting, Tax Preparation, Bookkeeping, and Payroll Services</t>
  </si>
  <si>
    <t>Steel Product Manufacturing from Purchased Steel</t>
  </si>
  <si>
    <t>Other Transit and Ground Passenger Transportation</t>
  </si>
  <si>
    <t>3330A1</t>
  </si>
  <si>
    <t>Machinery Manufacturing (3331, 3332, 3334, and 3339 only)</t>
  </si>
  <si>
    <t>Computer and Peripheral Equipment Manufacturing</t>
  </si>
  <si>
    <t>Coal Mining</t>
  </si>
  <si>
    <t>Other Personal Services</t>
  </si>
  <si>
    <t>Metalworking Machinery Manufacturing</t>
  </si>
  <si>
    <t>Iron and Steel Mills and Ferroalloy Manufacturing</t>
  </si>
  <si>
    <t>Other Professional, Scientific, and Technical Services</t>
  </si>
  <si>
    <t>Sugar and Confectionery Product Manufacturing</t>
  </si>
  <si>
    <t>Other Amusement and Recreation Industries</t>
  </si>
  <si>
    <t>Home Health Care Services</t>
  </si>
  <si>
    <t>Vending Machine Operators</t>
  </si>
  <si>
    <t>3250A2</t>
  </si>
  <si>
    <t>Chemical Manufacturing (3255 and 3256 only)</t>
  </si>
  <si>
    <t>Grain and Oilseed Milling</t>
  </si>
  <si>
    <t>Agencies, Brokerages, and Other Insurance Related Activities</t>
  </si>
  <si>
    <t>Machinery, Equipment, and Supplies Merchant Wholesalers</t>
  </si>
  <si>
    <t>Medical and Diagnostic Laboratories</t>
  </si>
  <si>
    <t>Monetary Authorities-Central Bank</t>
  </si>
  <si>
    <t>Management, Scientific, and Technical Consulting Services</t>
  </si>
  <si>
    <t>Offices of Dentists</t>
  </si>
  <si>
    <t>Software Publishers</t>
  </si>
  <si>
    <t>Automotive Equipment Rental and Leasing</t>
  </si>
  <si>
    <t>Restaurants and Other Eating Places</t>
  </si>
  <si>
    <t>Gasoline Stations</t>
  </si>
  <si>
    <t>Rooming and Boarding Houses</t>
  </si>
  <si>
    <t>Book Stores and News Dealers</t>
  </si>
  <si>
    <t>Support Activities for Animal Production</t>
  </si>
  <si>
    <t>Manufacturing and Reproducing Magnetic and Optical Media</t>
  </si>
  <si>
    <t>Logging</t>
  </si>
  <si>
    <t>Other Leather and Allied Product Manufacturing</t>
  </si>
  <si>
    <t>Fiber, Yarn, and Thread Mills</t>
  </si>
  <si>
    <t>Postal Service (federal government)</t>
  </si>
  <si>
    <t>Apparel Accessories and Other Apparel Manufacturing</t>
  </si>
  <si>
    <t>Railroad Rolling Stock Manufacturing</t>
  </si>
  <si>
    <t>Inland Water Transportation</t>
  </si>
  <si>
    <t>Textile and Fabric Finishing and Fabric Coating Mills</t>
  </si>
  <si>
    <t>Metal Ore Mining</t>
  </si>
  <si>
    <t>Scenic and Sightseeing Transportation, Land</t>
  </si>
  <si>
    <t>Ship and Boat Building</t>
  </si>
  <si>
    <t>Textile Furnishings Mills</t>
  </si>
  <si>
    <t>Apparel Knitting Mills</t>
  </si>
  <si>
    <t>Florists</t>
  </si>
  <si>
    <t>Footwear Manufacturing</t>
  </si>
  <si>
    <t>Jewelry, Luggage, and Leather Goods Stores</t>
  </si>
  <si>
    <t>Scenic and Sightseeing Transportation, Other</t>
  </si>
  <si>
    <t>Scenic and Sightseeing Transportation, Water</t>
  </si>
  <si>
    <t>Taxi and Limousine Service</t>
  </si>
  <si>
    <t>Other Transportation Equipment Manufacturing</t>
  </si>
  <si>
    <t>Radio and Television Broadcasting</t>
  </si>
  <si>
    <t>Insurance and Employee Benefit Funds</t>
  </si>
  <si>
    <t>General Merchandise Stores</t>
  </si>
  <si>
    <t>Urban Transit Systems</t>
  </si>
  <si>
    <t>Pipeline Transportation of Crude Oil</t>
  </si>
  <si>
    <t>RV (Recreational Vehicle) Parks and Recreational Camps</t>
  </si>
  <si>
    <t>Community Food and Housing, and Emergency and Other Relief Services</t>
  </si>
  <si>
    <t>Leather and Hide Tanning and Finishing</t>
  </si>
  <si>
    <t>Interurban and Rural Bus Transportation</t>
  </si>
  <si>
    <t>Agents and Managers for Artists, Athletes, Entertainers, and Other Public Figures</t>
  </si>
  <si>
    <t>Household Appliance Manufacturing</t>
  </si>
  <si>
    <t>Shoe Stores</t>
  </si>
  <si>
    <t>Drinking Places (Alcoholic Beverages)</t>
  </si>
  <si>
    <t>Clothing Stores</t>
  </si>
  <si>
    <t>611100</t>
  </si>
  <si>
    <t>551100</t>
  </si>
  <si>
    <t>445300</t>
  </si>
  <si>
    <t>444100</t>
  </si>
  <si>
    <t>312200</t>
  </si>
  <si>
    <t>221200</t>
  </si>
  <si>
    <t>334200</t>
  </si>
  <si>
    <t>451100</t>
  </si>
  <si>
    <t>621900</t>
  </si>
  <si>
    <t>811200</t>
  </si>
  <si>
    <t>311900</t>
  </si>
  <si>
    <t>425100</t>
  </si>
  <si>
    <t>337900</t>
  </si>
  <si>
    <t>322200</t>
  </si>
  <si>
    <t>611200</t>
  </si>
  <si>
    <t>711200</t>
  </si>
  <si>
    <t>334400</t>
  </si>
  <si>
    <t>813100</t>
  </si>
  <si>
    <t>561900</t>
  </si>
  <si>
    <t>624400</t>
  </si>
  <si>
    <t>999100</t>
  </si>
  <si>
    <t>488200</t>
  </si>
  <si>
    <t>441100</t>
  </si>
  <si>
    <t>812100</t>
  </si>
  <si>
    <t>331500</t>
  </si>
  <si>
    <t>322100</t>
  </si>
  <si>
    <t>335900</t>
  </si>
  <si>
    <t>311400</t>
  </si>
  <si>
    <t>454300</t>
  </si>
  <si>
    <t>336200</t>
  </si>
  <si>
    <t>453900</t>
  </si>
  <si>
    <t>237200</t>
  </si>
  <si>
    <t>324100</t>
  </si>
  <si>
    <t>813300</t>
  </si>
  <si>
    <t>492100</t>
  </si>
  <si>
    <t>999300</t>
  </si>
  <si>
    <t>481200</t>
  </si>
  <si>
    <t>813200</t>
  </si>
  <si>
    <t>486200</t>
  </si>
  <si>
    <t>335300</t>
  </si>
  <si>
    <t>518200</t>
  </si>
  <si>
    <t>442100</t>
  </si>
  <si>
    <t>561200</t>
  </si>
  <si>
    <t>441300</t>
  </si>
  <si>
    <t>611300</t>
  </si>
  <si>
    <t>561300</t>
  </si>
  <si>
    <t>562200</t>
  </si>
  <si>
    <t>424300</t>
  </si>
  <si>
    <t>483100</t>
  </si>
  <si>
    <t>622300</t>
  </si>
  <si>
    <t>611400</t>
  </si>
  <si>
    <t>115100</t>
  </si>
  <si>
    <t>314900</t>
  </si>
  <si>
    <t>493100</t>
  </si>
  <si>
    <t>323100</t>
  </si>
  <si>
    <t>238200</t>
  </si>
  <si>
    <t>313200</t>
  </si>
  <si>
    <t>321900</t>
  </si>
  <si>
    <t>311800</t>
  </si>
  <si>
    <t>312100</t>
  </si>
  <si>
    <t>442200</t>
  </si>
  <si>
    <t>515200</t>
  </si>
  <si>
    <t>339900</t>
  </si>
  <si>
    <t>525900</t>
  </si>
  <si>
    <t>713200</t>
  </si>
  <si>
    <t>441200</t>
  </si>
  <si>
    <t>561400</t>
  </si>
  <si>
    <t>326200</t>
  </si>
  <si>
    <t>236100</t>
  </si>
  <si>
    <t>561500</t>
  </si>
  <si>
    <t>486900</t>
  </si>
  <si>
    <t>522200</t>
  </si>
  <si>
    <t>443100</t>
  </si>
  <si>
    <t>488100</t>
  </si>
  <si>
    <t>236200</t>
  </si>
  <si>
    <t>711100</t>
  </si>
  <si>
    <t>334500</t>
  </si>
  <si>
    <t>512200</t>
  </si>
  <si>
    <t>488400</t>
  </si>
  <si>
    <t>315200</t>
  </si>
  <si>
    <t>519100</t>
  </si>
  <si>
    <t>621100</t>
  </si>
  <si>
    <t>511100</t>
  </si>
  <si>
    <t>492200</t>
  </si>
  <si>
    <t>812200</t>
  </si>
  <si>
    <t>339100</t>
  </si>
  <si>
    <t>621400</t>
  </si>
  <si>
    <t>454100</t>
  </si>
  <si>
    <t>541500</t>
  </si>
  <si>
    <t>485400</t>
  </si>
  <si>
    <t>512100</t>
  </si>
  <si>
    <t>531000</t>
  </si>
  <si>
    <t>321100</t>
  </si>
  <si>
    <t>326100</t>
  </si>
  <si>
    <t>444200</t>
  </si>
  <si>
    <t>331300</t>
  </si>
  <si>
    <t>533100</t>
  </si>
  <si>
    <t>541100</t>
  </si>
  <si>
    <t>423400</t>
  </si>
  <si>
    <t>722300</t>
  </si>
  <si>
    <t>334300</t>
  </si>
  <si>
    <t>711300</t>
  </si>
  <si>
    <t>811300</t>
  </si>
  <si>
    <t>999200</t>
  </si>
  <si>
    <t>336300</t>
  </si>
  <si>
    <t>336400</t>
  </si>
  <si>
    <t>211100</t>
  </si>
  <si>
    <t>238300</t>
  </si>
  <si>
    <t>332700</t>
  </si>
  <si>
    <t>485500</t>
  </si>
  <si>
    <t>562100</t>
  </si>
  <si>
    <t>488900</t>
  </si>
  <si>
    <t>213100</t>
  </si>
  <si>
    <t>611600</t>
  </si>
  <si>
    <t>481100</t>
  </si>
  <si>
    <t>623900</t>
  </si>
  <si>
    <t>523000</t>
  </si>
  <si>
    <t>332800</t>
  </si>
  <si>
    <t>622100</t>
  </si>
  <si>
    <t>221100</t>
  </si>
  <si>
    <t>311700</t>
  </si>
  <si>
    <t>212300</t>
  </si>
  <si>
    <t>611700</t>
  </si>
  <si>
    <t>423100</t>
  </si>
  <si>
    <t>811400</t>
  </si>
  <si>
    <t>482100</t>
  </si>
  <si>
    <t>331400</t>
  </si>
  <si>
    <t>721100</t>
  </si>
  <si>
    <t>541700</t>
  </si>
  <si>
    <t>325400</t>
  </si>
  <si>
    <t>541800</t>
  </si>
  <si>
    <t>624100</t>
  </si>
  <si>
    <t>333300</t>
  </si>
  <si>
    <t>712100</t>
  </si>
  <si>
    <t>311500</t>
  </si>
  <si>
    <t>311600</t>
  </si>
  <si>
    <t>238100</t>
  </si>
  <si>
    <t>327000</t>
  </si>
  <si>
    <t>813400</t>
  </si>
  <si>
    <t>237900</t>
  </si>
  <si>
    <t>517000</t>
  </si>
  <si>
    <t>623100</t>
  </si>
  <si>
    <t>541300</t>
  </si>
  <si>
    <t>711500</t>
  </si>
  <si>
    <t>562900</t>
  </si>
  <si>
    <t>221300</t>
  </si>
  <si>
    <t>484000</t>
  </si>
  <si>
    <t>561600</t>
  </si>
  <si>
    <t>424500</t>
  </si>
  <si>
    <t>321200</t>
  </si>
  <si>
    <t>524100</t>
  </si>
  <si>
    <t>624300</t>
  </si>
  <si>
    <t>541400</t>
  </si>
  <si>
    <t>713100</t>
  </si>
  <si>
    <t>335100</t>
  </si>
  <si>
    <t>561100</t>
  </si>
  <si>
    <t>237300</t>
  </si>
  <si>
    <t>488500</t>
  </si>
  <si>
    <t>446100</t>
  </si>
  <si>
    <t>813900</t>
  </si>
  <si>
    <t>623300</t>
  </si>
  <si>
    <t>561700</t>
  </si>
  <si>
    <t>622200</t>
  </si>
  <si>
    <t>621300</t>
  </si>
  <si>
    <t>623200</t>
  </si>
  <si>
    <t>336100</t>
  </si>
  <si>
    <t>488300</t>
  </si>
  <si>
    <t>238900</t>
  </si>
  <si>
    <t>237100</t>
  </si>
  <si>
    <t>333600</t>
  </si>
  <si>
    <t>611500</t>
  </si>
  <si>
    <t>311100</t>
  </si>
  <si>
    <t>811100</t>
  </si>
  <si>
    <t>812300</t>
  </si>
  <si>
    <t>541200</t>
  </si>
  <si>
    <t>331200</t>
  </si>
  <si>
    <t>485900</t>
  </si>
  <si>
    <t>334100</t>
  </si>
  <si>
    <t>212100</t>
  </si>
  <si>
    <t>812900</t>
  </si>
  <si>
    <t>333500</t>
  </si>
  <si>
    <t>331100</t>
  </si>
  <si>
    <t>541900</t>
  </si>
  <si>
    <t>311300</t>
  </si>
  <si>
    <t>713900</t>
  </si>
  <si>
    <t>621600</t>
  </si>
  <si>
    <t>454200</t>
  </si>
  <si>
    <t>311200</t>
  </si>
  <si>
    <t>524200</t>
  </si>
  <si>
    <t>423800</t>
  </si>
  <si>
    <t>621500</t>
  </si>
  <si>
    <t>521100</t>
  </si>
  <si>
    <t>541600</t>
  </si>
  <si>
    <t>621200</t>
  </si>
  <si>
    <t>511200</t>
  </si>
  <si>
    <t>532100</t>
  </si>
  <si>
    <t>722500</t>
  </si>
  <si>
    <t>447100</t>
  </si>
  <si>
    <t>721300</t>
  </si>
  <si>
    <t>451200</t>
  </si>
  <si>
    <t>115200</t>
  </si>
  <si>
    <t>334600</t>
  </si>
  <si>
    <t>113300</t>
  </si>
  <si>
    <t>316900</t>
  </si>
  <si>
    <t>313100</t>
  </si>
  <si>
    <t>491100</t>
  </si>
  <si>
    <t>315900</t>
  </si>
  <si>
    <t>336500</t>
  </si>
  <si>
    <t>483200</t>
  </si>
  <si>
    <t>313300</t>
  </si>
  <si>
    <t>212200</t>
  </si>
  <si>
    <t>487100</t>
  </si>
  <si>
    <t>336600</t>
  </si>
  <si>
    <t>314100</t>
  </si>
  <si>
    <t>315100</t>
  </si>
  <si>
    <t>453100</t>
  </si>
  <si>
    <t>316200</t>
  </si>
  <si>
    <t>448300</t>
  </si>
  <si>
    <t>487900</t>
  </si>
  <si>
    <t>487200</t>
  </si>
  <si>
    <t>485300</t>
  </si>
  <si>
    <t>336900</t>
  </si>
  <si>
    <t>515100</t>
  </si>
  <si>
    <t>525100</t>
  </si>
  <si>
    <t>452000</t>
  </si>
  <si>
    <t>485100</t>
  </si>
  <si>
    <t>486100</t>
  </si>
  <si>
    <t>721200</t>
  </si>
  <si>
    <t>624200</t>
  </si>
  <si>
    <t>316100</t>
  </si>
  <si>
    <t>485200</t>
  </si>
  <si>
    <t>711400</t>
  </si>
  <si>
    <t>335200</t>
  </si>
  <si>
    <t>448200</t>
  </si>
  <si>
    <t>722400</t>
  </si>
  <si>
    <t>448100</t>
  </si>
  <si>
    <t>NAICS</t>
  </si>
  <si>
    <t>NAICS Description</t>
  </si>
  <si>
    <t>Language Modeling AIIE</t>
  </si>
  <si>
    <t>Minimum score</t>
  </si>
  <si>
    <t>Maximum score</t>
  </si>
  <si>
    <t>Average score</t>
  </si>
  <si>
    <t>Negative scores</t>
  </si>
  <si>
    <t>Zero scores</t>
  </si>
  <si>
    <t>Column Checked</t>
  </si>
  <si>
    <t>Records With Extra Spaces</t>
  </si>
  <si>
    <t>COUNTA</t>
  </si>
  <si>
    <t>COUNT</t>
  </si>
  <si>
    <t>Check the SOC codes</t>
  </si>
  <si>
    <t>Validate the SOC code format</t>
  </si>
  <si>
    <t>Check the NAICS code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</si>
</sst>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64" fontId="0" fillId="0" borderId="0" xfId="0" applyNumberFormat="1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17645-DCBC-4E44-94B7-652E3E256265}">
  <dimension ref="A1:G775"/>
  <sheetViews>
    <sheetView topLeftCell="D1" workbookViewId="0">
      <selection activeCell="F5" sqref="F5"/>
    </sheetView>
  </sheetViews>
  <sheetFormatPr defaultRowHeight="14.4"/>
  <cols>
    <col min="1" max="1" width="9.109375" style="1"/>
    <col min="2" max="2" width="96.44140625" bestFit="1" customWidth="1"/>
    <col min="3" max="3" width="27.6640625" style="2" bestFit="1" customWidth="1"/>
    <col min="4" max="4" width="13.6640625" bestFit="1" customWidth="1"/>
    <col min="6" max="6" width="18.21875" bestFit="1" customWidth="1"/>
  </cols>
  <sheetData>
    <row r="1" spans="1:7">
      <c r="A1" s="1" t="s">
        <v>1548</v>
      </c>
      <c r="B1" t="s">
        <v>1549</v>
      </c>
      <c r="C1" s="2" t="s">
        <v>1550</v>
      </c>
    </row>
    <row r="2" spans="1:7">
      <c r="A2" s="1" t="s">
        <v>0</v>
      </c>
      <c r="B2" t="s">
        <v>1</v>
      </c>
      <c r="C2" s="2">
        <v>1.3089120000000001</v>
      </c>
      <c r="E2">
        <f>COUNT(C2:C775)</f>
        <v>774</v>
      </c>
    </row>
    <row r="3" spans="1:7">
      <c r="A3" s="1" t="s">
        <v>2</v>
      </c>
      <c r="B3" t="s">
        <v>3</v>
      </c>
      <c r="C3" s="2">
        <v>0.67761470000000001</v>
      </c>
      <c r="E3">
        <f>COUNTA(C2:C775)</f>
        <v>774</v>
      </c>
    </row>
    <row r="4" spans="1:7">
      <c r="A4" s="1" t="s">
        <v>1517</v>
      </c>
      <c r="B4" t="s">
        <v>4</v>
      </c>
      <c r="C4" s="2">
        <v>1.2172240000000001</v>
      </c>
      <c r="F4" t="s">
        <v>2063</v>
      </c>
      <c r="G4" cm="1">
        <f t="array" ref="G4">SUMPRODUCT(--(LEN('LM AIOE'!A2:A775)&lt;&gt;7))</f>
        <v>0</v>
      </c>
    </row>
    <row r="5" spans="1:7">
      <c r="A5" s="1" t="s">
        <v>1518</v>
      </c>
      <c r="B5" t="s">
        <v>5</v>
      </c>
      <c r="C5" s="2">
        <v>1.2037739999999999</v>
      </c>
      <c r="D5" t="s">
        <v>2054</v>
      </c>
      <c r="E5" s="2">
        <f>MIN(C2:C775)</f>
        <v>-1.8539060000000001</v>
      </c>
      <c r="F5" t="s">
        <v>2064</v>
      </c>
      <c r="G5" cm="1">
        <f t="array" ref="G5">SUMPRODUCT(--(MID(A2:A775,3,1)&lt;&gt;"-"))</f>
        <v>0</v>
      </c>
    </row>
    <row r="6" spans="1:7">
      <c r="A6" s="1" t="s">
        <v>1519</v>
      </c>
      <c r="B6" t="s">
        <v>6</v>
      </c>
      <c r="C6" s="2">
        <v>1.2938210000000001</v>
      </c>
      <c r="D6" t="s">
        <v>2055</v>
      </c>
      <c r="E6" s="2">
        <f>MAX(C2:C775)</f>
        <v>1.9256329999999999</v>
      </c>
    </row>
    <row r="7" spans="1:7">
      <c r="A7" s="1" t="s">
        <v>1520</v>
      </c>
      <c r="B7" t="s">
        <v>7</v>
      </c>
      <c r="C7" s="2">
        <v>1.3829480000000001</v>
      </c>
      <c r="D7" t="s">
        <v>2056</v>
      </c>
      <c r="E7" s="3">
        <f>AVERAGE(C2:C775)</f>
        <v>3.875969099795829E-9</v>
      </c>
    </row>
    <row r="8" spans="1:7">
      <c r="A8" s="1" t="s">
        <v>1521</v>
      </c>
      <c r="B8" t="s">
        <v>8</v>
      </c>
      <c r="C8" s="2">
        <v>0.76819369999999998</v>
      </c>
      <c r="D8" t="s">
        <v>2057</v>
      </c>
      <c r="E8" s="4">
        <f>COUNTIF(C2:C775,"&lt;0")</f>
        <v>409</v>
      </c>
    </row>
    <row r="9" spans="1:7">
      <c r="A9" s="1" t="s">
        <v>1522</v>
      </c>
      <c r="B9" t="s">
        <v>9</v>
      </c>
      <c r="C9" s="2">
        <v>0.94506990000000002</v>
      </c>
      <c r="D9" t="s">
        <v>2058</v>
      </c>
      <c r="E9" s="4">
        <f>COUNTIF(C2:C775,0)</f>
        <v>0</v>
      </c>
    </row>
    <row r="10" spans="1:7">
      <c r="A10" s="1" t="s">
        <v>1523</v>
      </c>
      <c r="B10" t="s">
        <v>10</v>
      </c>
      <c r="C10" s="2">
        <v>1.294551</v>
      </c>
    </row>
    <row r="11" spans="1:7">
      <c r="A11" s="1" t="s">
        <v>1524</v>
      </c>
      <c r="B11" t="s">
        <v>11</v>
      </c>
      <c r="C11" s="2">
        <v>0.35429719999999998</v>
      </c>
    </row>
    <row r="12" spans="1:7">
      <c r="A12" s="1" t="s">
        <v>1525</v>
      </c>
      <c r="B12" t="s">
        <v>12</v>
      </c>
      <c r="C12" s="2">
        <v>1.3931020000000001</v>
      </c>
    </row>
    <row r="13" spans="1:7">
      <c r="A13" s="1" t="s">
        <v>1526</v>
      </c>
      <c r="B13" t="s">
        <v>13</v>
      </c>
      <c r="C13" s="2">
        <v>0.90454789999999996</v>
      </c>
    </row>
    <row r="14" spans="1:7">
      <c r="A14" s="1" t="s">
        <v>1527</v>
      </c>
      <c r="B14" t="s">
        <v>14</v>
      </c>
      <c r="C14" s="2">
        <v>1.466744</v>
      </c>
    </row>
    <row r="15" spans="1:7">
      <c r="A15" s="1" t="s">
        <v>1528</v>
      </c>
      <c r="B15" t="s">
        <v>15</v>
      </c>
      <c r="C15" s="2">
        <v>1.3592219999999999</v>
      </c>
    </row>
    <row r="16" spans="1:7">
      <c r="A16" s="1" t="s">
        <v>1529</v>
      </c>
      <c r="B16" t="s">
        <v>16</v>
      </c>
      <c r="C16" s="2">
        <v>1.336838</v>
      </c>
    </row>
    <row r="17" spans="1:3">
      <c r="A17" s="1" t="s">
        <v>1530</v>
      </c>
      <c r="B17" t="s">
        <v>17</v>
      </c>
      <c r="C17" s="2">
        <v>-0.15849959999999999</v>
      </c>
    </row>
    <row r="18" spans="1:3">
      <c r="A18" s="1" t="s">
        <v>1531</v>
      </c>
      <c r="B18" t="s">
        <v>18</v>
      </c>
      <c r="C18" s="2">
        <v>0.63619510000000001</v>
      </c>
    </row>
    <row r="19" spans="1:3">
      <c r="A19" s="1" t="s">
        <v>1532</v>
      </c>
      <c r="B19" t="s">
        <v>19</v>
      </c>
      <c r="C19" s="2">
        <v>0.96718769999999998</v>
      </c>
    </row>
    <row r="20" spans="1:3">
      <c r="A20" s="1" t="s">
        <v>1533</v>
      </c>
      <c r="B20" t="s">
        <v>20</v>
      </c>
      <c r="C20" s="2">
        <v>1.199449</v>
      </c>
    </row>
    <row r="21" spans="1:3">
      <c r="A21" s="1" t="s">
        <v>1534</v>
      </c>
      <c r="B21" t="s">
        <v>21</v>
      </c>
      <c r="C21" s="2">
        <v>1.544923</v>
      </c>
    </row>
    <row r="22" spans="1:3">
      <c r="A22" s="1" t="s">
        <v>1535</v>
      </c>
      <c r="B22" t="s">
        <v>22</v>
      </c>
      <c r="C22" s="2">
        <v>0.62789059999999997</v>
      </c>
    </row>
    <row r="23" spans="1:3">
      <c r="A23" s="1" t="s">
        <v>1536</v>
      </c>
      <c r="B23" t="s">
        <v>23</v>
      </c>
      <c r="C23" s="2">
        <v>0.64741099999999996</v>
      </c>
    </row>
    <row r="24" spans="1:3">
      <c r="A24" s="1" t="s">
        <v>1537</v>
      </c>
      <c r="B24" t="s">
        <v>24</v>
      </c>
      <c r="C24" s="2">
        <v>6.1493100000000002E-2</v>
      </c>
    </row>
    <row r="25" spans="1:3">
      <c r="A25" s="1" t="s">
        <v>1538</v>
      </c>
      <c r="B25" t="s">
        <v>25</v>
      </c>
      <c r="C25" s="2">
        <v>0.33673199999999998</v>
      </c>
    </row>
    <row r="26" spans="1:3">
      <c r="A26" s="1" t="s">
        <v>1539</v>
      </c>
      <c r="B26" t="s">
        <v>26</v>
      </c>
      <c r="C26" s="2">
        <v>0.71925919999999999</v>
      </c>
    </row>
    <row r="27" spans="1:3">
      <c r="A27" s="1" t="s">
        <v>1540</v>
      </c>
      <c r="B27" t="s">
        <v>27</v>
      </c>
      <c r="C27" s="2">
        <v>0.46398509999999998</v>
      </c>
    </row>
    <row r="28" spans="1:3">
      <c r="A28" s="1" t="s">
        <v>1541</v>
      </c>
      <c r="B28" t="s">
        <v>28</v>
      </c>
      <c r="C28" s="2">
        <v>1.3149919999999999</v>
      </c>
    </row>
    <row r="29" spans="1:3">
      <c r="A29" s="1" t="s">
        <v>1542</v>
      </c>
      <c r="B29" t="s">
        <v>29</v>
      </c>
      <c r="C29" s="2">
        <v>1.2413430000000001</v>
      </c>
    </row>
    <row r="30" spans="1:3">
      <c r="A30" s="1" t="s">
        <v>1543</v>
      </c>
      <c r="B30" t="s">
        <v>30</v>
      </c>
      <c r="C30" s="2">
        <v>0.86570409999999998</v>
      </c>
    </row>
    <row r="31" spans="1:3">
      <c r="A31" s="1" t="s">
        <v>1544</v>
      </c>
      <c r="B31" t="s">
        <v>31</v>
      </c>
      <c r="C31" s="2">
        <v>1.2145950000000001</v>
      </c>
    </row>
    <row r="32" spans="1:3">
      <c r="A32" s="1" t="s">
        <v>1545</v>
      </c>
      <c r="B32" t="s">
        <v>32</v>
      </c>
      <c r="C32" s="2">
        <v>1.225244</v>
      </c>
    </row>
    <row r="33" spans="1:3">
      <c r="A33" s="1" t="s">
        <v>1546</v>
      </c>
      <c r="B33" t="s">
        <v>33</v>
      </c>
      <c r="C33" s="2">
        <v>0.90103699999999998</v>
      </c>
    </row>
    <row r="34" spans="1:3">
      <c r="A34" s="1" t="s">
        <v>1547</v>
      </c>
      <c r="B34" t="s">
        <v>34</v>
      </c>
      <c r="C34" s="2">
        <v>0.90996469999999996</v>
      </c>
    </row>
    <row r="35" spans="1:3">
      <c r="A35" s="1" t="s">
        <v>35</v>
      </c>
      <c r="B35" t="s">
        <v>36</v>
      </c>
      <c r="C35" s="2">
        <v>1.247628</v>
      </c>
    </row>
    <row r="36" spans="1:3">
      <c r="A36" s="1" t="s">
        <v>37</v>
      </c>
      <c r="B36" t="s">
        <v>38</v>
      </c>
      <c r="C36" s="2">
        <v>0.73681600000000003</v>
      </c>
    </row>
    <row r="37" spans="1:3">
      <c r="A37" s="1" t="s">
        <v>39</v>
      </c>
      <c r="B37" t="s">
        <v>40</v>
      </c>
      <c r="C37" s="2">
        <v>0.7911764</v>
      </c>
    </row>
    <row r="38" spans="1:3">
      <c r="A38" s="1" t="s">
        <v>41</v>
      </c>
      <c r="B38" t="s">
        <v>42</v>
      </c>
      <c r="C38" s="2">
        <v>1.4957009999999999</v>
      </c>
    </row>
    <row r="39" spans="1:3">
      <c r="A39" s="1" t="s">
        <v>43</v>
      </c>
      <c r="B39" t="s">
        <v>44</v>
      </c>
      <c r="C39" s="2">
        <v>1.106198</v>
      </c>
    </row>
    <row r="40" spans="1:3">
      <c r="A40" s="1" t="s">
        <v>45</v>
      </c>
      <c r="B40" t="s">
        <v>46</v>
      </c>
      <c r="C40" s="2">
        <v>0.58208329999999997</v>
      </c>
    </row>
    <row r="41" spans="1:3">
      <c r="A41" s="1" t="s">
        <v>47</v>
      </c>
      <c r="B41" t="s">
        <v>48</v>
      </c>
      <c r="C41" s="2">
        <v>0.57182069999999996</v>
      </c>
    </row>
    <row r="42" spans="1:3">
      <c r="A42" s="1" t="s">
        <v>49</v>
      </c>
      <c r="B42" t="s">
        <v>50</v>
      </c>
      <c r="C42" s="2">
        <v>1.13408</v>
      </c>
    </row>
    <row r="43" spans="1:3">
      <c r="A43" s="1" t="s">
        <v>51</v>
      </c>
      <c r="B43" t="s">
        <v>52</v>
      </c>
      <c r="C43" s="2">
        <v>1.557472</v>
      </c>
    </row>
    <row r="44" spans="1:3">
      <c r="A44" s="1" t="s">
        <v>53</v>
      </c>
      <c r="B44" t="s">
        <v>54</v>
      </c>
      <c r="C44" s="2">
        <v>-0.40440110000000001</v>
      </c>
    </row>
    <row r="45" spans="1:3">
      <c r="A45" s="1" t="s">
        <v>55</v>
      </c>
      <c r="B45" t="s">
        <v>56</v>
      </c>
      <c r="C45" s="2">
        <v>1.431411</v>
      </c>
    </row>
    <row r="46" spans="1:3">
      <c r="A46" s="1" t="s">
        <v>57</v>
      </c>
      <c r="B46" t="s">
        <v>58</v>
      </c>
      <c r="C46" s="2">
        <v>1.081353</v>
      </c>
    </row>
    <row r="47" spans="1:3">
      <c r="A47" s="1" t="s">
        <v>59</v>
      </c>
      <c r="B47" t="s">
        <v>60</v>
      </c>
      <c r="C47" s="2">
        <v>1.5475570000000001</v>
      </c>
    </row>
    <row r="48" spans="1:3">
      <c r="A48" s="1" t="s">
        <v>61</v>
      </c>
      <c r="B48" t="s">
        <v>62</v>
      </c>
      <c r="C48" s="2">
        <v>0.51306779999999996</v>
      </c>
    </row>
    <row r="49" spans="1:3">
      <c r="A49" s="1" t="s">
        <v>63</v>
      </c>
      <c r="B49" t="s">
        <v>64</v>
      </c>
      <c r="C49" s="2">
        <v>1.4046909999999999</v>
      </c>
    </row>
    <row r="50" spans="1:3">
      <c r="A50" s="1" t="s">
        <v>65</v>
      </c>
      <c r="B50" t="s">
        <v>66</v>
      </c>
      <c r="C50" s="2">
        <v>1.3618380000000001</v>
      </c>
    </row>
    <row r="51" spans="1:3">
      <c r="A51" s="1" t="s">
        <v>67</v>
      </c>
      <c r="B51" t="s">
        <v>68</v>
      </c>
      <c r="C51" s="2">
        <v>1.3229109999999999</v>
      </c>
    </row>
    <row r="52" spans="1:3">
      <c r="A52" s="1" t="s">
        <v>69</v>
      </c>
      <c r="B52" t="s">
        <v>70</v>
      </c>
      <c r="C52" s="2">
        <v>1.3562590000000001</v>
      </c>
    </row>
    <row r="53" spans="1:3">
      <c r="A53" s="1" t="s">
        <v>71</v>
      </c>
      <c r="B53" t="s">
        <v>72</v>
      </c>
      <c r="C53" s="2">
        <v>0.92503000000000002</v>
      </c>
    </row>
    <row r="54" spans="1:3">
      <c r="A54" s="1" t="s">
        <v>73</v>
      </c>
      <c r="B54" t="s">
        <v>74</v>
      </c>
      <c r="C54" s="2">
        <v>1.2140010000000001</v>
      </c>
    </row>
    <row r="55" spans="1:3">
      <c r="A55" s="1" t="s">
        <v>75</v>
      </c>
      <c r="B55" t="s">
        <v>76</v>
      </c>
      <c r="C55" s="2">
        <v>0.62793580000000004</v>
      </c>
    </row>
    <row r="56" spans="1:3">
      <c r="A56" s="1" t="s">
        <v>77</v>
      </c>
      <c r="B56" t="s">
        <v>78</v>
      </c>
      <c r="C56" s="2">
        <v>1.299968</v>
      </c>
    </row>
    <row r="57" spans="1:3">
      <c r="A57" s="1" t="s">
        <v>79</v>
      </c>
      <c r="B57" t="s">
        <v>80</v>
      </c>
      <c r="C57" s="2">
        <v>1.092495</v>
      </c>
    </row>
    <row r="58" spans="1:3">
      <c r="A58" s="1" t="s">
        <v>81</v>
      </c>
      <c r="B58" t="s">
        <v>82</v>
      </c>
      <c r="C58" s="2">
        <v>1.2728250000000001</v>
      </c>
    </row>
    <row r="59" spans="1:3">
      <c r="A59" s="1" t="s">
        <v>83</v>
      </c>
      <c r="B59" t="s">
        <v>84</v>
      </c>
      <c r="C59" s="2">
        <v>1.395742</v>
      </c>
    </row>
    <row r="60" spans="1:3">
      <c r="A60" s="1" t="s">
        <v>85</v>
      </c>
      <c r="B60" t="s">
        <v>86</v>
      </c>
      <c r="C60" s="2">
        <v>1.2619739999999999</v>
      </c>
    </row>
    <row r="61" spans="1:3">
      <c r="A61" s="1" t="s">
        <v>87</v>
      </c>
      <c r="B61" t="s">
        <v>88</v>
      </c>
      <c r="C61" s="2">
        <v>1.357634</v>
      </c>
    </row>
    <row r="62" spans="1:3">
      <c r="A62" s="1" t="s">
        <v>89</v>
      </c>
      <c r="B62" t="s">
        <v>90</v>
      </c>
      <c r="C62" s="2">
        <v>1.355321</v>
      </c>
    </row>
    <row r="63" spans="1:3">
      <c r="A63" s="1" t="s">
        <v>91</v>
      </c>
      <c r="B63" t="s">
        <v>92</v>
      </c>
      <c r="C63" s="2">
        <v>1.4774579999999999</v>
      </c>
    </row>
    <row r="64" spans="1:3">
      <c r="A64" s="1" t="s">
        <v>93</v>
      </c>
      <c r="B64" t="s">
        <v>94</v>
      </c>
      <c r="C64" s="2">
        <v>1.2532369999999999</v>
      </c>
    </row>
    <row r="65" spans="1:3">
      <c r="A65" s="1" t="s">
        <v>95</v>
      </c>
      <c r="B65" t="s">
        <v>96</v>
      </c>
      <c r="C65" s="2">
        <v>1.143748</v>
      </c>
    </row>
    <row r="66" spans="1:3">
      <c r="A66" s="1" t="s">
        <v>97</v>
      </c>
      <c r="B66" t="s">
        <v>98</v>
      </c>
      <c r="C66" s="2">
        <v>1.252594</v>
      </c>
    </row>
    <row r="67" spans="1:3">
      <c r="A67" s="1" t="s">
        <v>99</v>
      </c>
      <c r="B67" t="s">
        <v>100</v>
      </c>
      <c r="C67" s="2">
        <v>0.96823499999999996</v>
      </c>
    </row>
    <row r="68" spans="1:3">
      <c r="A68" s="1" t="s">
        <v>101</v>
      </c>
      <c r="B68" t="s">
        <v>102</v>
      </c>
      <c r="C68" s="2">
        <v>1.0458160000000001</v>
      </c>
    </row>
    <row r="69" spans="1:3">
      <c r="A69" s="1" t="s">
        <v>103</v>
      </c>
      <c r="B69" t="s">
        <v>104</v>
      </c>
      <c r="C69" s="2">
        <v>1.0447090000000001</v>
      </c>
    </row>
    <row r="70" spans="1:3">
      <c r="A70" s="1" t="s">
        <v>105</v>
      </c>
      <c r="B70" t="s">
        <v>106</v>
      </c>
      <c r="C70" s="2">
        <v>1.0247219999999999</v>
      </c>
    </row>
    <row r="71" spans="1:3">
      <c r="A71" s="1" t="s">
        <v>107</v>
      </c>
      <c r="B71" t="s">
        <v>108</v>
      </c>
      <c r="C71" s="2">
        <v>0.88156460000000003</v>
      </c>
    </row>
    <row r="72" spans="1:3">
      <c r="A72" s="1" t="s">
        <v>109</v>
      </c>
      <c r="B72" t="s">
        <v>110</v>
      </c>
      <c r="C72" s="2">
        <v>1.165808</v>
      </c>
    </row>
    <row r="73" spans="1:3">
      <c r="A73" s="1" t="s">
        <v>111</v>
      </c>
      <c r="B73" t="s">
        <v>112</v>
      </c>
      <c r="C73" s="2">
        <v>0.78878720000000002</v>
      </c>
    </row>
    <row r="74" spans="1:3">
      <c r="A74" s="1" t="s">
        <v>113</v>
      </c>
      <c r="B74" t="s">
        <v>114</v>
      </c>
      <c r="C74" s="2">
        <v>0.9959827</v>
      </c>
    </row>
    <row r="75" spans="1:3">
      <c r="A75" s="1" t="s">
        <v>115</v>
      </c>
      <c r="B75" t="s">
        <v>116</v>
      </c>
      <c r="C75" s="2">
        <v>0.47495379999999998</v>
      </c>
    </row>
    <row r="76" spans="1:3">
      <c r="A76" s="1" t="s">
        <v>117</v>
      </c>
      <c r="B76" t="s">
        <v>118</v>
      </c>
      <c r="C76" s="2">
        <v>0.49541849999999998</v>
      </c>
    </row>
    <row r="77" spans="1:3">
      <c r="A77" s="1" t="s">
        <v>119</v>
      </c>
      <c r="B77" t="s">
        <v>120</v>
      </c>
      <c r="C77" s="2">
        <v>0.32617410000000002</v>
      </c>
    </row>
    <row r="78" spans="1:3">
      <c r="A78" s="1" t="s">
        <v>121</v>
      </c>
      <c r="B78" t="s">
        <v>122</v>
      </c>
      <c r="C78" s="2">
        <v>0.65663190000000005</v>
      </c>
    </row>
    <row r="79" spans="1:3">
      <c r="A79" s="1" t="s">
        <v>123</v>
      </c>
      <c r="B79" t="s">
        <v>124</v>
      </c>
      <c r="C79" s="2">
        <v>1.0435859999999999</v>
      </c>
    </row>
    <row r="80" spans="1:3">
      <c r="A80" s="1" t="s">
        <v>125</v>
      </c>
      <c r="B80" t="s">
        <v>126</v>
      </c>
      <c r="C80" s="2">
        <v>1.199589</v>
      </c>
    </row>
    <row r="81" spans="1:3">
      <c r="A81" s="1" t="s">
        <v>127</v>
      </c>
      <c r="B81" t="s">
        <v>128</v>
      </c>
      <c r="C81" s="2">
        <v>1.1662330000000001</v>
      </c>
    </row>
    <row r="82" spans="1:3">
      <c r="A82" s="1" t="s">
        <v>129</v>
      </c>
      <c r="B82" t="s">
        <v>130</v>
      </c>
      <c r="C82" s="2">
        <v>1.233633</v>
      </c>
    </row>
    <row r="83" spans="1:3">
      <c r="A83" s="1" t="s">
        <v>131</v>
      </c>
      <c r="B83" t="s">
        <v>132</v>
      </c>
      <c r="C83" s="2">
        <v>1.2432570000000001</v>
      </c>
    </row>
    <row r="84" spans="1:3">
      <c r="A84" s="1" t="s">
        <v>133</v>
      </c>
      <c r="B84" t="s">
        <v>134</v>
      </c>
      <c r="C84" s="2">
        <v>0.43821500000000002</v>
      </c>
    </row>
    <row r="85" spans="1:3">
      <c r="A85" s="1" t="s">
        <v>135</v>
      </c>
      <c r="B85" t="s">
        <v>136</v>
      </c>
      <c r="C85" s="2">
        <v>0.61035890000000004</v>
      </c>
    </row>
    <row r="86" spans="1:3">
      <c r="A86" s="1" t="s">
        <v>137</v>
      </c>
      <c r="B86" t="s">
        <v>138</v>
      </c>
      <c r="C86" s="2">
        <v>0.83637570000000006</v>
      </c>
    </row>
    <row r="87" spans="1:3">
      <c r="A87" s="1" t="s">
        <v>139</v>
      </c>
      <c r="B87" t="s">
        <v>140</v>
      </c>
      <c r="C87" s="2">
        <v>0.47231889999999999</v>
      </c>
    </row>
    <row r="88" spans="1:3">
      <c r="A88" s="1" t="s">
        <v>141</v>
      </c>
      <c r="B88" t="s">
        <v>142</v>
      </c>
      <c r="C88" s="2">
        <v>-0.12128800000000001</v>
      </c>
    </row>
    <row r="89" spans="1:3">
      <c r="A89" s="1" t="s">
        <v>143</v>
      </c>
      <c r="B89" t="s">
        <v>144</v>
      </c>
      <c r="C89" s="2">
        <v>1.1168499999999999</v>
      </c>
    </row>
    <row r="90" spans="1:3">
      <c r="A90" s="1" t="s">
        <v>145</v>
      </c>
      <c r="B90" t="s">
        <v>146</v>
      </c>
      <c r="C90" s="2">
        <v>0.68951720000000005</v>
      </c>
    </row>
    <row r="91" spans="1:3">
      <c r="A91" s="1" t="s">
        <v>147</v>
      </c>
      <c r="B91" t="s">
        <v>148</v>
      </c>
      <c r="C91" s="2">
        <v>0.73380570000000001</v>
      </c>
    </row>
    <row r="92" spans="1:3">
      <c r="A92" s="1" t="s">
        <v>149</v>
      </c>
      <c r="B92" t="s">
        <v>150</v>
      </c>
      <c r="C92" s="2">
        <v>0.90601929999999997</v>
      </c>
    </row>
    <row r="93" spans="1:3">
      <c r="A93" s="1" t="s">
        <v>151</v>
      </c>
      <c r="B93" t="s">
        <v>152</v>
      </c>
      <c r="C93" s="2">
        <v>0.92679730000000005</v>
      </c>
    </row>
    <row r="94" spans="1:3">
      <c r="A94" s="1" t="s">
        <v>153</v>
      </c>
      <c r="B94" t="s">
        <v>154</v>
      </c>
      <c r="C94" s="2">
        <v>0.97686260000000003</v>
      </c>
    </row>
    <row r="95" spans="1:3">
      <c r="A95" s="1" t="s">
        <v>155</v>
      </c>
      <c r="B95" t="s">
        <v>156</v>
      </c>
      <c r="C95" s="2">
        <v>0.90112400000000004</v>
      </c>
    </row>
    <row r="96" spans="1:3">
      <c r="A96" s="1" t="s">
        <v>157</v>
      </c>
      <c r="B96" t="s">
        <v>158</v>
      </c>
      <c r="C96" s="2">
        <v>0.45691789999999999</v>
      </c>
    </row>
    <row r="97" spans="1:3">
      <c r="A97" s="1" t="s">
        <v>159</v>
      </c>
      <c r="B97" t="s">
        <v>160</v>
      </c>
      <c r="C97" s="2">
        <v>1.0439510000000001</v>
      </c>
    </row>
    <row r="98" spans="1:3">
      <c r="A98" s="1" t="s">
        <v>161</v>
      </c>
      <c r="B98" t="s">
        <v>162</v>
      </c>
      <c r="C98" s="2">
        <v>0.76441049999999999</v>
      </c>
    </row>
    <row r="99" spans="1:3">
      <c r="A99" s="1" t="s">
        <v>163</v>
      </c>
      <c r="B99" t="s">
        <v>164</v>
      </c>
      <c r="C99" s="2">
        <v>0.90505760000000002</v>
      </c>
    </row>
    <row r="100" spans="1:3">
      <c r="A100" s="1" t="s">
        <v>165</v>
      </c>
      <c r="B100" t="s">
        <v>166</v>
      </c>
      <c r="C100" s="2">
        <v>0.34344750000000002</v>
      </c>
    </row>
    <row r="101" spans="1:3">
      <c r="A101" s="1" t="s">
        <v>167</v>
      </c>
      <c r="B101" t="s">
        <v>168</v>
      </c>
      <c r="C101" s="2">
        <v>0.78047710000000003</v>
      </c>
    </row>
    <row r="102" spans="1:3">
      <c r="A102" s="1" t="s">
        <v>169</v>
      </c>
      <c r="B102" t="s">
        <v>170</v>
      </c>
      <c r="C102" s="2">
        <v>0.67802689999999999</v>
      </c>
    </row>
    <row r="103" spans="1:3">
      <c r="A103" s="1" t="s">
        <v>171</v>
      </c>
      <c r="B103" t="s">
        <v>172</v>
      </c>
      <c r="C103" s="2">
        <v>1.031417</v>
      </c>
    </row>
    <row r="104" spans="1:3">
      <c r="A104" s="1" t="s">
        <v>173</v>
      </c>
      <c r="B104" t="s">
        <v>174</v>
      </c>
      <c r="C104" s="2">
        <v>1.07307</v>
      </c>
    </row>
    <row r="105" spans="1:3">
      <c r="A105" s="1" t="s">
        <v>175</v>
      </c>
      <c r="B105" t="s">
        <v>176</v>
      </c>
      <c r="C105" s="2">
        <v>1.0331399999999999</v>
      </c>
    </row>
    <row r="106" spans="1:3">
      <c r="A106" s="1" t="s">
        <v>177</v>
      </c>
      <c r="B106" t="s">
        <v>178</v>
      </c>
      <c r="C106" s="2">
        <v>0.58080770000000004</v>
      </c>
    </row>
    <row r="107" spans="1:3">
      <c r="A107" s="1" t="s">
        <v>179</v>
      </c>
      <c r="B107" t="s">
        <v>180</v>
      </c>
      <c r="C107" s="2">
        <v>0.55387330000000001</v>
      </c>
    </row>
    <row r="108" spans="1:3">
      <c r="A108" s="1" t="s">
        <v>181</v>
      </c>
      <c r="B108" t="s">
        <v>182</v>
      </c>
      <c r="C108" s="2">
        <v>0.67552500000000004</v>
      </c>
    </row>
    <row r="109" spans="1:3">
      <c r="A109" s="1" t="s">
        <v>183</v>
      </c>
      <c r="B109" t="s">
        <v>184</v>
      </c>
      <c r="C109" s="2">
        <v>0.38184220000000002</v>
      </c>
    </row>
    <row r="110" spans="1:3">
      <c r="A110" s="1" t="s">
        <v>185</v>
      </c>
      <c r="B110" t="s">
        <v>186</v>
      </c>
      <c r="C110" s="2">
        <v>0.20079420000000001</v>
      </c>
    </row>
    <row r="111" spans="1:3">
      <c r="A111" s="1" t="s">
        <v>187</v>
      </c>
      <c r="B111" t="s">
        <v>188</v>
      </c>
      <c r="C111" s="2">
        <v>0.55321529999999997</v>
      </c>
    </row>
    <row r="112" spans="1:3">
      <c r="A112" s="1" t="s">
        <v>189</v>
      </c>
      <c r="B112" t="s">
        <v>190</v>
      </c>
      <c r="C112" s="2">
        <v>7.80005E-2</v>
      </c>
    </row>
    <row r="113" spans="1:3">
      <c r="A113" s="1" t="s">
        <v>191</v>
      </c>
      <c r="B113" t="s">
        <v>192</v>
      </c>
      <c r="C113" s="2">
        <v>-0.56845349999999994</v>
      </c>
    </row>
    <row r="114" spans="1:3">
      <c r="A114" s="1" t="s">
        <v>193</v>
      </c>
      <c r="B114" t="s">
        <v>194</v>
      </c>
      <c r="C114" s="2">
        <v>-0.12380529999999999</v>
      </c>
    </row>
    <row r="115" spans="1:3">
      <c r="A115" s="1" t="s">
        <v>195</v>
      </c>
      <c r="B115" t="s">
        <v>196</v>
      </c>
      <c r="C115" s="2">
        <v>0.34743469999999999</v>
      </c>
    </row>
    <row r="116" spans="1:3">
      <c r="A116" s="1" t="s">
        <v>197</v>
      </c>
      <c r="B116" t="s">
        <v>198</v>
      </c>
      <c r="C116" s="2">
        <v>-0.27368100000000001</v>
      </c>
    </row>
    <row r="117" spans="1:3">
      <c r="A117" s="1" t="s">
        <v>199</v>
      </c>
      <c r="B117" t="s">
        <v>200</v>
      </c>
      <c r="C117" s="2">
        <v>-7.9291799999999996E-2</v>
      </c>
    </row>
    <row r="118" spans="1:3">
      <c r="A118" s="1" t="s">
        <v>201</v>
      </c>
      <c r="B118" t="s">
        <v>202</v>
      </c>
      <c r="C118" s="2">
        <v>-0.29024889999999998</v>
      </c>
    </row>
    <row r="119" spans="1:3">
      <c r="A119" s="1" t="s">
        <v>203</v>
      </c>
      <c r="B119" t="s">
        <v>204</v>
      </c>
      <c r="C119" s="2">
        <v>0.97172780000000003</v>
      </c>
    </row>
    <row r="120" spans="1:3">
      <c r="A120" s="1" t="s">
        <v>205</v>
      </c>
      <c r="B120" t="s">
        <v>206</v>
      </c>
      <c r="C120" s="2">
        <v>0.57254629999999995</v>
      </c>
    </row>
    <row r="121" spans="1:3">
      <c r="A121" s="1" t="s">
        <v>207</v>
      </c>
      <c r="B121" t="s">
        <v>208</v>
      </c>
      <c r="C121" s="2">
        <v>0.60916950000000003</v>
      </c>
    </row>
    <row r="122" spans="1:3">
      <c r="A122" s="1" t="s">
        <v>209</v>
      </c>
      <c r="B122" t="s">
        <v>210</v>
      </c>
      <c r="C122" s="2">
        <v>0.66165949999999996</v>
      </c>
    </row>
    <row r="123" spans="1:3">
      <c r="A123" s="1" t="s">
        <v>211</v>
      </c>
      <c r="B123" t="s">
        <v>212</v>
      </c>
      <c r="C123" s="2">
        <v>0.79352160000000005</v>
      </c>
    </row>
    <row r="124" spans="1:3">
      <c r="A124" s="1" t="s">
        <v>213</v>
      </c>
      <c r="B124" t="s">
        <v>214</v>
      </c>
      <c r="C124" s="2">
        <v>0.47420869999999998</v>
      </c>
    </row>
    <row r="125" spans="1:3">
      <c r="A125" s="1" t="s">
        <v>215</v>
      </c>
      <c r="B125" t="s">
        <v>216</v>
      </c>
      <c r="C125" s="2">
        <v>0.3266713</v>
      </c>
    </row>
    <row r="126" spans="1:3">
      <c r="A126" s="1" t="s">
        <v>217</v>
      </c>
      <c r="B126" t="s">
        <v>218</v>
      </c>
      <c r="C126" s="2">
        <v>0.88291540000000002</v>
      </c>
    </row>
    <row r="127" spans="1:3">
      <c r="A127" s="1" t="s">
        <v>219</v>
      </c>
      <c r="B127" t="s">
        <v>220</v>
      </c>
      <c r="C127" s="2">
        <v>7.4433899999999997E-2</v>
      </c>
    </row>
    <row r="128" spans="1:3">
      <c r="A128" s="1" t="s">
        <v>221</v>
      </c>
      <c r="B128" t="s">
        <v>222</v>
      </c>
      <c r="C128" s="2">
        <v>-0.19609009999999999</v>
      </c>
    </row>
    <row r="129" spans="1:3">
      <c r="A129" s="1" t="s">
        <v>223</v>
      </c>
      <c r="B129" t="s">
        <v>224</v>
      </c>
      <c r="C129" s="2">
        <v>1.284233</v>
      </c>
    </row>
    <row r="130" spans="1:3">
      <c r="A130" s="1" t="s">
        <v>225</v>
      </c>
      <c r="B130" t="s">
        <v>226</v>
      </c>
      <c r="C130" s="2">
        <v>1.1672389999999999</v>
      </c>
    </row>
    <row r="131" spans="1:3">
      <c r="A131" s="1" t="s">
        <v>227</v>
      </c>
      <c r="B131" t="s">
        <v>228</v>
      </c>
      <c r="C131" s="2">
        <v>1.034772</v>
      </c>
    </row>
    <row r="132" spans="1:3">
      <c r="A132" s="1" t="s">
        <v>229</v>
      </c>
      <c r="B132" t="s">
        <v>230</v>
      </c>
      <c r="C132" s="2">
        <v>1.096606</v>
      </c>
    </row>
    <row r="133" spans="1:3">
      <c r="A133" s="1" t="s">
        <v>231</v>
      </c>
      <c r="B133" t="s">
        <v>232</v>
      </c>
      <c r="C133" s="2">
        <v>1.259493</v>
      </c>
    </row>
    <row r="134" spans="1:3">
      <c r="A134" s="1" t="s">
        <v>233</v>
      </c>
      <c r="B134" t="s">
        <v>234</v>
      </c>
      <c r="C134" s="2">
        <v>0.32664840000000001</v>
      </c>
    </row>
    <row r="135" spans="1:3">
      <c r="A135" s="1" t="s">
        <v>235</v>
      </c>
      <c r="B135" t="s">
        <v>236</v>
      </c>
      <c r="C135" s="2">
        <v>0.78580830000000002</v>
      </c>
    </row>
    <row r="136" spans="1:3">
      <c r="A136" s="1" t="s">
        <v>237</v>
      </c>
      <c r="B136" t="s">
        <v>238</v>
      </c>
      <c r="C136" s="2">
        <v>0.87027969999999999</v>
      </c>
    </row>
    <row r="137" spans="1:3">
      <c r="A137" s="1" t="s">
        <v>239</v>
      </c>
      <c r="B137" t="s">
        <v>240</v>
      </c>
      <c r="C137" s="2">
        <v>0.56730009999999997</v>
      </c>
    </row>
    <row r="138" spans="1:3">
      <c r="A138" s="1" t="s">
        <v>241</v>
      </c>
      <c r="B138" t="s">
        <v>242</v>
      </c>
      <c r="C138" s="2">
        <v>0.5548691</v>
      </c>
    </row>
    <row r="139" spans="1:3">
      <c r="A139" s="1" t="s">
        <v>243</v>
      </c>
      <c r="B139" t="s">
        <v>244</v>
      </c>
      <c r="C139" s="2">
        <v>0.91252239999999996</v>
      </c>
    </row>
    <row r="140" spans="1:3">
      <c r="A140" s="1" t="s">
        <v>245</v>
      </c>
      <c r="B140" t="s">
        <v>246</v>
      </c>
      <c r="C140" s="2">
        <v>1.330122</v>
      </c>
    </row>
    <row r="141" spans="1:3">
      <c r="A141" s="1" t="s">
        <v>247</v>
      </c>
      <c r="B141" t="s">
        <v>248</v>
      </c>
      <c r="C141" s="2">
        <v>1.2785230000000001</v>
      </c>
    </row>
    <row r="142" spans="1:3">
      <c r="A142" s="1" t="s">
        <v>249</v>
      </c>
      <c r="B142" t="s">
        <v>250</v>
      </c>
      <c r="C142" s="2">
        <v>1.6260159999999999</v>
      </c>
    </row>
    <row r="143" spans="1:3">
      <c r="A143" s="1" t="s">
        <v>251</v>
      </c>
      <c r="B143" t="s">
        <v>252</v>
      </c>
      <c r="C143" s="2">
        <v>1.4270020000000001</v>
      </c>
    </row>
    <row r="144" spans="1:3">
      <c r="A144" s="1" t="s">
        <v>253</v>
      </c>
      <c r="B144" t="s">
        <v>254</v>
      </c>
      <c r="C144" s="2">
        <v>1.3299380000000001</v>
      </c>
    </row>
    <row r="145" spans="1:3">
      <c r="A145" s="1" t="s">
        <v>255</v>
      </c>
      <c r="B145" t="s">
        <v>256</v>
      </c>
      <c r="C145" s="2">
        <v>1.747498</v>
      </c>
    </row>
    <row r="146" spans="1:3">
      <c r="A146" s="1" t="s">
        <v>257</v>
      </c>
      <c r="B146" t="s">
        <v>258</v>
      </c>
      <c r="C146" s="2">
        <v>1.0754699999999999</v>
      </c>
    </row>
    <row r="147" spans="1:3">
      <c r="A147" s="1" t="s">
        <v>259</v>
      </c>
      <c r="B147" t="s">
        <v>260</v>
      </c>
      <c r="C147" s="2">
        <v>0.73882139999999996</v>
      </c>
    </row>
    <row r="148" spans="1:3">
      <c r="A148" s="1" t="s">
        <v>261</v>
      </c>
      <c r="B148" t="s">
        <v>262</v>
      </c>
      <c r="C148" s="2">
        <v>1.3631470000000001</v>
      </c>
    </row>
    <row r="149" spans="1:3">
      <c r="A149" s="1" t="s">
        <v>263</v>
      </c>
      <c r="B149" t="s">
        <v>264</v>
      </c>
      <c r="C149" s="2">
        <v>1.4906779999999999</v>
      </c>
    </row>
    <row r="150" spans="1:3">
      <c r="A150" s="1" t="s">
        <v>265</v>
      </c>
      <c r="B150" t="s">
        <v>266</v>
      </c>
      <c r="C150" s="2">
        <v>1.6865490000000001</v>
      </c>
    </row>
    <row r="151" spans="1:3">
      <c r="A151" s="1" t="s">
        <v>267</v>
      </c>
      <c r="B151" t="s">
        <v>268</v>
      </c>
      <c r="C151" s="2">
        <v>1.084824</v>
      </c>
    </row>
    <row r="152" spans="1:3">
      <c r="A152" s="1" t="s">
        <v>269</v>
      </c>
      <c r="B152" t="s">
        <v>270</v>
      </c>
      <c r="C152" s="2">
        <v>-4.92323E-2</v>
      </c>
    </row>
    <row r="153" spans="1:3">
      <c r="A153" s="1" t="s">
        <v>271</v>
      </c>
      <c r="B153" t="s">
        <v>272</v>
      </c>
      <c r="C153" s="2">
        <v>0.1328288</v>
      </c>
    </row>
    <row r="154" spans="1:3">
      <c r="A154" s="1" t="s">
        <v>273</v>
      </c>
      <c r="B154" t="s">
        <v>274</v>
      </c>
      <c r="C154" s="2">
        <v>-9.4015899999999999E-2</v>
      </c>
    </row>
    <row r="155" spans="1:3">
      <c r="A155" s="1" t="s">
        <v>275</v>
      </c>
      <c r="B155" t="s">
        <v>276</v>
      </c>
      <c r="C155" s="2">
        <v>-2.65366E-2</v>
      </c>
    </row>
    <row r="156" spans="1:3">
      <c r="A156" s="1" t="s">
        <v>277</v>
      </c>
      <c r="B156" t="s">
        <v>278</v>
      </c>
      <c r="C156" s="2">
        <v>-9.0525900000000006E-2</v>
      </c>
    </row>
    <row r="157" spans="1:3">
      <c r="A157" s="1" t="s">
        <v>279</v>
      </c>
      <c r="B157" t="s">
        <v>280</v>
      </c>
      <c r="C157" s="2">
        <v>1.1259410000000001</v>
      </c>
    </row>
    <row r="158" spans="1:3">
      <c r="A158" s="1" t="s">
        <v>281</v>
      </c>
      <c r="B158" t="s">
        <v>282</v>
      </c>
      <c r="C158" s="2">
        <v>-0.14292460000000001</v>
      </c>
    </row>
    <row r="159" spans="1:3">
      <c r="A159" s="1" t="s">
        <v>283</v>
      </c>
      <c r="B159" t="s">
        <v>284</v>
      </c>
      <c r="C159" s="2">
        <v>1.03722E-2</v>
      </c>
    </row>
    <row r="160" spans="1:3">
      <c r="A160" s="1" t="s">
        <v>285</v>
      </c>
      <c r="B160" t="s">
        <v>286</v>
      </c>
      <c r="C160" s="2">
        <v>-0.7611464</v>
      </c>
    </row>
    <row r="161" spans="1:3">
      <c r="A161" s="1" t="s">
        <v>287</v>
      </c>
      <c r="B161" t="s">
        <v>288</v>
      </c>
      <c r="C161" s="2">
        <v>0.17615500000000001</v>
      </c>
    </row>
    <row r="162" spans="1:3">
      <c r="A162" s="1" t="s">
        <v>289</v>
      </c>
      <c r="B162" t="s">
        <v>290</v>
      </c>
      <c r="C162" s="2">
        <v>1.2039089999999999</v>
      </c>
    </row>
    <row r="163" spans="1:3">
      <c r="A163" s="1" t="s">
        <v>291</v>
      </c>
      <c r="B163" t="s">
        <v>292</v>
      </c>
      <c r="C163" s="2">
        <v>1.196385</v>
      </c>
    </row>
    <row r="164" spans="1:3">
      <c r="A164" s="1" t="s">
        <v>293</v>
      </c>
      <c r="B164" t="s">
        <v>294</v>
      </c>
      <c r="C164" s="2">
        <v>1.4731300000000001</v>
      </c>
    </row>
    <row r="165" spans="1:3">
      <c r="A165" s="1" t="s">
        <v>295</v>
      </c>
      <c r="B165" t="s">
        <v>296</v>
      </c>
      <c r="C165" s="2">
        <v>1.5369440000000001</v>
      </c>
    </row>
    <row r="166" spans="1:3">
      <c r="A166" s="1" t="s">
        <v>297</v>
      </c>
      <c r="B166" t="s">
        <v>298</v>
      </c>
      <c r="C166" s="2">
        <v>0.83467040000000003</v>
      </c>
    </row>
    <row r="167" spans="1:3">
      <c r="A167" s="1" t="s">
        <v>299</v>
      </c>
      <c r="B167" t="s">
        <v>300</v>
      </c>
      <c r="C167" s="2">
        <v>0.95712909999999995</v>
      </c>
    </row>
    <row r="168" spans="1:3">
      <c r="A168" s="1" t="s">
        <v>301</v>
      </c>
      <c r="B168" t="s">
        <v>302</v>
      </c>
      <c r="C168" s="2">
        <v>1.0936189999999999</v>
      </c>
    </row>
    <row r="169" spans="1:3">
      <c r="A169" s="1" t="s">
        <v>303</v>
      </c>
      <c r="B169" t="s">
        <v>304</v>
      </c>
      <c r="C169" s="2">
        <v>1.2531840000000001</v>
      </c>
    </row>
    <row r="170" spans="1:3">
      <c r="A170" s="1" t="s">
        <v>305</v>
      </c>
      <c r="B170" t="s">
        <v>306</v>
      </c>
      <c r="C170" s="2">
        <v>0.96842159999999999</v>
      </c>
    </row>
    <row r="171" spans="1:3">
      <c r="A171" s="1" t="s">
        <v>307</v>
      </c>
      <c r="B171" t="s">
        <v>308</v>
      </c>
      <c r="C171" s="2">
        <v>0.89676699999999998</v>
      </c>
    </row>
    <row r="172" spans="1:3">
      <c r="A172" s="1" t="s">
        <v>309</v>
      </c>
      <c r="B172" t="s">
        <v>310</v>
      </c>
      <c r="C172" s="2">
        <v>0.55739609999999995</v>
      </c>
    </row>
    <row r="173" spans="1:3">
      <c r="A173" s="1" t="s">
        <v>311</v>
      </c>
      <c r="B173" t="s">
        <v>312</v>
      </c>
      <c r="C173" s="2">
        <v>0.1347507</v>
      </c>
    </row>
    <row r="174" spans="1:3">
      <c r="A174" s="1" t="s">
        <v>313</v>
      </c>
      <c r="B174" t="s">
        <v>314</v>
      </c>
      <c r="C174" s="2">
        <v>1.4701029999999999</v>
      </c>
    </row>
    <row r="175" spans="1:3">
      <c r="A175" s="1" t="s">
        <v>315</v>
      </c>
      <c r="B175" t="s">
        <v>316</v>
      </c>
      <c r="C175" s="2">
        <v>1.3550359999999999</v>
      </c>
    </row>
    <row r="176" spans="1:3">
      <c r="A176" s="1" t="s">
        <v>317</v>
      </c>
      <c r="B176" t="s">
        <v>318</v>
      </c>
      <c r="C176" s="2">
        <v>1.4540439999999999</v>
      </c>
    </row>
    <row r="177" spans="1:3">
      <c r="A177" s="1" t="s">
        <v>319</v>
      </c>
      <c r="B177" t="s">
        <v>320</v>
      </c>
      <c r="C177" s="2">
        <v>1.512581</v>
      </c>
    </row>
    <row r="178" spans="1:3">
      <c r="A178" s="1" t="s">
        <v>321</v>
      </c>
      <c r="B178" t="s">
        <v>322</v>
      </c>
      <c r="C178" s="2">
        <v>1.547145</v>
      </c>
    </row>
    <row r="179" spans="1:3">
      <c r="A179" s="1" t="s">
        <v>323</v>
      </c>
      <c r="B179" t="s">
        <v>324</v>
      </c>
      <c r="C179" s="2">
        <v>1.647241</v>
      </c>
    </row>
    <row r="180" spans="1:3">
      <c r="A180" s="1" t="s">
        <v>325</v>
      </c>
      <c r="B180" t="s">
        <v>326</v>
      </c>
      <c r="C180" s="2">
        <v>1.646266</v>
      </c>
    </row>
    <row r="181" spans="1:3">
      <c r="A181" s="1" t="s">
        <v>327</v>
      </c>
      <c r="B181" t="s">
        <v>328</v>
      </c>
      <c r="C181" s="2">
        <v>1.332659</v>
      </c>
    </row>
    <row r="182" spans="1:3">
      <c r="A182" s="1" t="s">
        <v>329</v>
      </c>
      <c r="B182" t="s">
        <v>330</v>
      </c>
      <c r="C182" s="2">
        <v>0.90327979999999997</v>
      </c>
    </row>
    <row r="183" spans="1:3">
      <c r="A183" s="1" t="s">
        <v>331</v>
      </c>
      <c r="B183" t="s">
        <v>332</v>
      </c>
      <c r="C183" s="2">
        <v>1.3841559999999999</v>
      </c>
    </row>
    <row r="184" spans="1:3">
      <c r="A184" s="1" t="s">
        <v>333</v>
      </c>
      <c r="B184" t="s">
        <v>334</v>
      </c>
      <c r="C184" s="2">
        <v>1.618228</v>
      </c>
    </row>
    <row r="185" spans="1:3">
      <c r="A185" s="1" t="s">
        <v>335</v>
      </c>
      <c r="B185" t="s">
        <v>336</v>
      </c>
      <c r="C185" s="2">
        <v>1.390422</v>
      </c>
    </row>
    <row r="186" spans="1:3">
      <c r="A186" s="1" t="s">
        <v>337</v>
      </c>
      <c r="B186" t="s">
        <v>338</v>
      </c>
      <c r="C186" s="2">
        <v>1.406917</v>
      </c>
    </row>
    <row r="187" spans="1:3">
      <c r="A187" s="1" t="s">
        <v>339</v>
      </c>
      <c r="B187" t="s">
        <v>340</v>
      </c>
      <c r="C187" s="2">
        <v>1.2463420000000001</v>
      </c>
    </row>
    <row r="188" spans="1:3">
      <c r="A188" s="1" t="s">
        <v>341</v>
      </c>
      <c r="B188" t="s">
        <v>342</v>
      </c>
      <c r="C188" s="2">
        <v>1.3372489999999999</v>
      </c>
    </row>
    <row r="189" spans="1:3">
      <c r="A189" s="1" t="s">
        <v>343</v>
      </c>
      <c r="B189" t="s">
        <v>344</v>
      </c>
      <c r="C189" s="2">
        <v>1.15419</v>
      </c>
    </row>
    <row r="190" spans="1:3">
      <c r="A190" s="1" t="s">
        <v>345</v>
      </c>
      <c r="B190" t="s">
        <v>346</v>
      </c>
      <c r="C190" s="2">
        <v>1.4925170000000001</v>
      </c>
    </row>
    <row r="191" spans="1:3">
      <c r="A191" s="1" t="s">
        <v>347</v>
      </c>
      <c r="B191" t="s">
        <v>348</v>
      </c>
      <c r="C191" s="2">
        <v>1.5629459999999999</v>
      </c>
    </row>
    <row r="192" spans="1:3">
      <c r="A192" s="1" t="s">
        <v>349</v>
      </c>
      <c r="B192" t="s">
        <v>350</v>
      </c>
      <c r="C192" s="2">
        <v>1.521884</v>
      </c>
    </row>
    <row r="193" spans="1:3">
      <c r="A193" s="1" t="s">
        <v>351</v>
      </c>
      <c r="B193" t="s">
        <v>352</v>
      </c>
      <c r="C193" s="2">
        <v>1.4499329999999999</v>
      </c>
    </row>
    <row r="194" spans="1:3">
      <c r="A194" s="1" t="s">
        <v>353</v>
      </c>
      <c r="B194" t="s">
        <v>354</v>
      </c>
      <c r="C194" s="2">
        <v>1.603297</v>
      </c>
    </row>
    <row r="195" spans="1:3">
      <c r="A195" s="1" t="s">
        <v>355</v>
      </c>
      <c r="B195" t="s">
        <v>356</v>
      </c>
      <c r="C195" s="2">
        <v>1.240154</v>
      </c>
    </row>
    <row r="196" spans="1:3">
      <c r="A196" s="1" t="s">
        <v>357</v>
      </c>
      <c r="B196" t="s">
        <v>358</v>
      </c>
      <c r="C196" s="2">
        <v>1.5342750000000001</v>
      </c>
    </row>
    <row r="197" spans="1:3">
      <c r="A197" s="1" t="s">
        <v>359</v>
      </c>
      <c r="B197" t="s">
        <v>360</v>
      </c>
      <c r="C197" s="2">
        <v>1.66876</v>
      </c>
    </row>
    <row r="198" spans="1:3">
      <c r="A198" s="1" t="s">
        <v>361</v>
      </c>
      <c r="B198" t="s">
        <v>362</v>
      </c>
      <c r="C198" s="2">
        <v>1.4618899999999999</v>
      </c>
    </row>
    <row r="199" spans="1:3">
      <c r="A199" s="1" t="s">
        <v>363</v>
      </c>
      <c r="B199" t="s">
        <v>364</v>
      </c>
      <c r="C199" s="2">
        <v>1.628536</v>
      </c>
    </row>
    <row r="200" spans="1:3">
      <c r="A200" s="1" t="s">
        <v>365</v>
      </c>
      <c r="B200" t="s">
        <v>366</v>
      </c>
      <c r="C200" s="2">
        <v>1.7695650000000001</v>
      </c>
    </row>
    <row r="201" spans="1:3">
      <c r="A201" s="1" t="s">
        <v>367</v>
      </c>
      <c r="B201" t="s">
        <v>368</v>
      </c>
      <c r="C201" s="2">
        <v>1.716472</v>
      </c>
    </row>
    <row r="202" spans="1:3">
      <c r="A202" s="1" t="s">
        <v>369</v>
      </c>
      <c r="B202" t="s">
        <v>370</v>
      </c>
      <c r="C202" s="2">
        <v>1.7704569999999999</v>
      </c>
    </row>
    <row r="203" spans="1:3">
      <c r="A203" s="1" t="s">
        <v>371</v>
      </c>
      <c r="B203" t="s">
        <v>372</v>
      </c>
      <c r="C203" s="2">
        <v>1.2256309999999999</v>
      </c>
    </row>
    <row r="204" spans="1:3">
      <c r="A204" s="1" t="s">
        <v>373</v>
      </c>
      <c r="B204" t="s">
        <v>374</v>
      </c>
      <c r="C204" s="2">
        <v>0.74383999999999995</v>
      </c>
    </row>
    <row r="205" spans="1:3">
      <c r="A205" s="1" t="s">
        <v>375</v>
      </c>
      <c r="B205" t="s">
        <v>376</v>
      </c>
      <c r="C205" s="2">
        <v>1.623696</v>
      </c>
    </row>
    <row r="206" spans="1:3">
      <c r="A206" s="1" t="s">
        <v>377</v>
      </c>
      <c r="B206" t="s">
        <v>378</v>
      </c>
      <c r="C206" s="2">
        <v>1.626376</v>
      </c>
    </row>
    <row r="207" spans="1:3">
      <c r="A207" s="1" t="s">
        <v>379</v>
      </c>
      <c r="B207" t="s">
        <v>380</v>
      </c>
      <c r="C207" s="2">
        <v>1.754122</v>
      </c>
    </row>
    <row r="208" spans="1:3">
      <c r="A208" s="1" t="s">
        <v>381</v>
      </c>
      <c r="B208" t="s">
        <v>382</v>
      </c>
      <c r="C208" s="2">
        <v>1.8018879999999999</v>
      </c>
    </row>
    <row r="209" spans="1:3">
      <c r="A209" s="1" t="s">
        <v>383</v>
      </c>
      <c r="B209" t="s">
        <v>384</v>
      </c>
      <c r="C209" s="2">
        <v>1.738791</v>
      </c>
    </row>
    <row r="210" spans="1:3">
      <c r="A210" s="1" t="s">
        <v>385</v>
      </c>
      <c r="B210" t="s">
        <v>386</v>
      </c>
      <c r="C210" s="2">
        <v>1.0074350000000001</v>
      </c>
    </row>
    <row r="211" spans="1:3">
      <c r="A211" s="1" t="s">
        <v>387</v>
      </c>
      <c r="B211" t="s">
        <v>388</v>
      </c>
      <c r="C211" s="2">
        <v>1.70167</v>
      </c>
    </row>
    <row r="212" spans="1:3">
      <c r="A212" s="1" t="s">
        <v>389</v>
      </c>
      <c r="B212" t="s">
        <v>390</v>
      </c>
      <c r="C212" s="2">
        <v>1.85686</v>
      </c>
    </row>
    <row r="213" spans="1:3">
      <c r="A213" s="1" t="s">
        <v>391</v>
      </c>
      <c r="B213" t="s">
        <v>392</v>
      </c>
      <c r="C213" s="2">
        <v>1.8138920000000001</v>
      </c>
    </row>
    <row r="214" spans="1:3">
      <c r="A214" s="1" t="s">
        <v>393</v>
      </c>
      <c r="B214" t="s">
        <v>394</v>
      </c>
      <c r="C214" s="2">
        <v>1.8133619999999999</v>
      </c>
    </row>
    <row r="215" spans="1:3">
      <c r="A215" s="1" t="s">
        <v>395</v>
      </c>
      <c r="B215" t="s">
        <v>396</v>
      </c>
      <c r="C215" s="2">
        <v>1.7998749999999999</v>
      </c>
    </row>
    <row r="216" spans="1:3">
      <c r="A216" s="1" t="s">
        <v>397</v>
      </c>
      <c r="B216" t="s">
        <v>398</v>
      </c>
      <c r="C216" s="2">
        <v>1.376487</v>
      </c>
    </row>
    <row r="217" spans="1:3">
      <c r="A217" s="1" t="s">
        <v>399</v>
      </c>
      <c r="B217" t="s">
        <v>400</v>
      </c>
      <c r="C217" s="2">
        <v>1.4676610000000001</v>
      </c>
    </row>
    <row r="218" spans="1:3">
      <c r="A218" s="1" t="s">
        <v>401</v>
      </c>
      <c r="B218" t="s">
        <v>402</v>
      </c>
      <c r="C218" s="2">
        <v>1.4293119999999999</v>
      </c>
    </row>
    <row r="219" spans="1:3">
      <c r="A219" s="1" t="s">
        <v>403</v>
      </c>
      <c r="B219" t="s">
        <v>404</v>
      </c>
      <c r="C219" s="2">
        <v>0.39018849999999999</v>
      </c>
    </row>
    <row r="220" spans="1:3">
      <c r="A220" s="1" t="s">
        <v>405</v>
      </c>
      <c r="B220" t="s">
        <v>406</v>
      </c>
      <c r="C220" s="2">
        <v>0.32225510000000002</v>
      </c>
    </row>
    <row r="221" spans="1:3">
      <c r="A221" s="1" t="s">
        <v>407</v>
      </c>
      <c r="B221" t="s">
        <v>408</v>
      </c>
      <c r="C221" s="2">
        <v>0.65310219999999997</v>
      </c>
    </row>
    <row r="222" spans="1:3">
      <c r="A222" s="1" t="s">
        <v>409</v>
      </c>
      <c r="B222" t="s">
        <v>410</v>
      </c>
      <c r="C222" s="2">
        <v>1.0166249999999999</v>
      </c>
    </row>
    <row r="223" spans="1:3">
      <c r="A223" s="1" t="s">
        <v>411</v>
      </c>
      <c r="B223" t="s">
        <v>412</v>
      </c>
      <c r="C223" s="2">
        <v>1.2843279999999999</v>
      </c>
    </row>
    <row r="224" spans="1:3">
      <c r="A224" s="1" t="s">
        <v>413</v>
      </c>
      <c r="B224" t="s">
        <v>414</v>
      </c>
      <c r="C224" s="2">
        <v>0.64695979999999997</v>
      </c>
    </row>
    <row r="225" spans="1:3">
      <c r="A225" s="1" t="s">
        <v>415</v>
      </c>
      <c r="B225" t="s">
        <v>416</v>
      </c>
      <c r="C225" s="2">
        <v>1.2485280000000001</v>
      </c>
    </row>
    <row r="226" spans="1:3">
      <c r="A226" s="1" t="s">
        <v>417</v>
      </c>
      <c r="B226" t="s">
        <v>418</v>
      </c>
      <c r="C226" s="2">
        <v>0.42226469999999999</v>
      </c>
    </row>
    <row r="227" spans="1:3">
      <c r="A227" s="1" t="s">
        <v>419</v>
      </c>
      <c r="B227" t="s">
        <v>420</v>
      </c>
      <c r="C227" s="2">
        <v>0.65465779999999996</v>
      </c>
    </row>
    <row r="228" spans="1:3">
      <c r="A228" s="1" t="s">
        <v>421</v>
      </c>
      <c r="B228" t="s">
        <v>422</v>
      </c>
      <c r="C228" s="2">
        <v>0.93718460000000003</v>
      </c>
    </row>
    <row r="229" spans="1:3">
      <c r="A229" s="1" t="s">
        <v>423</v>
      </c>
      <c r="B229" t="s">
        <v>424</v>
      </c>
      <c r="C229" s="2">
        <v>1.3344009999999999</v>
      </c>
    </row>
    <row r="230" spans="1:3">
      <c r="A230" s="1" t="s">
        <v>425</v>
      </c>
      <c r="B230" t="s">
        <v>426</v>
      </c>
      <c r="C230" s="2">
        <v>0.9999323</v>
      </c>
    </row>
    <row r="231" spans="1:3">
      <c r="A231" s="1" t="s">
        <v>427</v>
      </c>
      <c r="B231" t="s">
        <v>428</v>
      </c>
      <c r="C231" s="2">
        <v>-0.23612259999999999</v>
      </c>
    </row>
    <row r="232" spans="1:3">
      <c r="A232" s="1" t="s">
        <v>429</v>
      </c>
      <c r="B232" t="s">
        <v>430</v>
      </c>
      <c r="C232" s="2">
        <v>1.4400820000000001</v>
      </c>
    </row>
    <row r="233" spans="1:3">
      <c r="A233" s="1" t="s">
        <v>431</v>
      </c>
      <c r="B233" t="s">
        <v>432</v>
      </c>
      <c r="C233" s="2">
        <v>0.82478300000000004</v>
      </c>
    </row>
    <row r="234" spans="1:3">
      <c r="A234" s="1" t="s">
        <v>433</v>
      </c>
      <c r="B234" t="s">
        <v>434</v>
      </c>
      <c r="C234" s="2">
        <v>1.486138</v>
      </c>
    </row>
    <row r="235" spans="1:3">
      <c r="A235" s="1" t="s">
        <v>435</v>
      </c>
      <c r="B235" t="s">
        <v>436</v>
      </c>
      <c r="C235" s="2">
        <v>0.69289579999999995</v>
      </c>
    </row>
    <row r="236" spans="1:3">
      <c r="A236" s="1" t="s">
        <v>437</v>
      </c>
      <c r="B236" t="s">
        <v>438</v>
      </c>
      <c r="C236" s="2">
        <v>0.65585760000000004</v>
      </c>
    </row>
    <row r="237" spans="1:3">
      <c r="A237" s="1" t="s">
        <v>439</v>
      </c>
      <c r="B237" t="s">
        <v>440</v>
      </c>
      <c r="C237" s="2">
        <v>-0.1107287</v>
      </c>
    </row>
    <row r="238" spans="1:3">
      <c r="A238" s="1" t="s">
        <v>441</v>
      </c>
      <c r="B238" t="s">
        <v>442</v>
      </c>
      <c r="C238" s="2">
        <v>0.97778949999999998</v>
      </c>
    </row>
    <row r="239" spans="1:3">
      <c r="A239" s="1" t="s">
        <v>443</v>
      </c>
      <c r="B239" t="s">
        <v>444</v>
      </c>
      <c r="C239" s="2">
        <v>0.17952319999999999</v>
      </c>
    </row>
    <row r="240" spans="1:3">
      <c r="A240" s="1" t="s">
        <v>445</v>
      </c>
      <c r="B240" t="s">
        <v>446</v>
      </c>
      <c r="C240" s="2">
        <v>0.27210899999999999</v>
      </c>
    </row>
    <row r="241" spans="1:3">
      <c r="A241" s="1" t="s">
        <v>447</v>
      </c>
      <c r="B241" t="s">
        <v>448</v>
      </c>
      <c r="C241" s="2">
        <v>0.78386270000000002</v>
      </c>
    </row>
    <row r="242" spans="1:3">
      <c r="A242" s="1" t="s">
        <v>449</v>
      </c>
      <c r="B242" t="s">
        <v>450</v>
      </c>
      <c r="C242" s="2">
        <v>1.32382</v>
      </c>
    </row>
    <row r="243" spans="1:3">
      <c r="A243" s="1" t="s">
        <v>451</v>
      </c>
      <c r="B243" t="s">
        <v>452</v>
      </c>
      <c r="C243" s="2">
        <v>0.74757030000000002</v>
      </c>
    </row>
    <row r="244" spans="1:3">
      <c r="A244" s="1" t="s">
        <v>453</v>
      </c>
      <c r="B244" t="s">
        <v>454</v>
      </c>
      <c r="C244" s="2">
        <v>0.72728099999999996</v>
      </c>
    </row>
    <row r="245" spans="1:3">
      <c r="A245" s="1" t="s">
        <v>455</v>
      </c>
      <c r="B245" t="s">
        <v>456</v>
      </c>
      <c r="C245" s="2">
        <v>-0.91736220000000002</v>
      </c>
    </row>
    <row r="246" spans="1:3">
      <c r="A246" s="1" t="s">
        <v>457</v>
      </c>
      <c r="B246" t="s">
        <v>458</v>
      </c>
      <c r="C246" s="2">
        <v>-0.69846549999999996</v>
      </c>
    </row>
    <row r="247" spans="1:3">
      <c r="A247" s="1" t="s">
        <v>459</v>
      </c>
      <c r="B247" t="s">
        <v>460</v>
      </c>
      <c r="C247" s="2">
        <v>0.43177179999999998</v>
      </c>
    </row>
    <row r="248" spans="1:3">
      <c r="A248" s="1" t="s">
        <v>461</v>
      </c>
      <c r="B248" t="s">
        <v>462</v>
      </c>
      <c r="C248" s="2">
        <v>0.55985830000000003</v>
      </c>
    </row>
    <row r="249" spans="1:3">
      <c r="A249" s="1" t="s">
        <v>463</v>
      </c>
      <c r="B249" t="s">
        <v>464</v>
      </c>
      <c r="C249" s="2">
        <v>0.50776180000000004</v>
      </c>
    </row>
    <row r="250" spans="1:3">
      <c r="A250" s="1" t="s">
        <v>465</v>
      </c>
      <c r="B250" t="s">
        <v>466</v>
      </c>
      <c r="C250" s="2">
        <v>-0.2188882</v>
      </c>
    </row>
    <row r="251" spans="1:3">
      <c r="A251" s="1" t="s">
        <v>467</v>
      </c>
      <c r="B251" t="s">
        <v>468</v>
      </c>
      <c r="C251" s="2">
        <v>0.52740129999999996</v>
      </c>
    </row>
    <row r="252" spans="1:3">
      <c r="A252" s="1" t="s">
        <v>469</v>
      </c>
      <c r="B252" t="s">
        <v>470</v>
      </c>
      <c r="C252" s="2">
        <v>0.82193360000000004</v>
      </c>
    </row>
    <row r="253" spans="1:3">
      <c r="A253" s="1" t="s">
        <v>471</v>
      </c>
      <c r="B253" t="s">
        <v>472</v>
      </c>
      <c r="C253" s="2">
        <v>-0.73484640000000001</v>
      </c>
    </row>
    <row r="254" spans="1:3">
      <c r="A254" s="1" t="s">
        <v>473</v>
      </c>
      <c r="B254" t="s">
        <v>474</v>
      </c>
      <c r="C254" s="2">
        <v>-0.1602642</v>
      </c>
    </row>
    <row r="255" spans="1:3">
      <c r="A255" s="1" t="s">
        <v>475</v>
      </c>
      <c r="B255" t="s">
        <v>476</v>
      </c>
      <c r="C255" s="2">
        <v>0.57840179999999997</v>
      </c>
    </row>
    <row r="256" spans="1:3">
      <c r="A256" s="1" t="s">
        <v>477</v>
      </c>
      <c r="B256" t="s">
        <v>478</v>
      </c>
      <c r="C256" s="2">
        <v>0.85978379999999999</v>
      </c>
    </row>
    <row r="257" spans="1:3">
      <c r="A257" s="1" t="s">
        <v>479</v>
      </c>
      <c r="B257" t="s">
        <v>480</v>
      </c>
      <c r="C257" s="2">
        <v>-1.2903830000000001</v>
      </c>
    </row>
    <row r="258" spans="1:3">
      <c r="A258" s="1" t="s">
        <v>481</v>
      </c>
      <c r="B258" t="s">
        <v>482</v>
      </c>
      <c r="C258" s="2">
        <v>0.31885079999999999</v>
      </c>
    </row>
    <row r="259" spans="1:3">
      <c r="A259" s="1" t="s">
        <v>483</v>
      </c>
      <c r="B259" t="s">
        <v>484</v>
      </c>
      <c r="C259" s="2">
        <v>-0.1454976</v>
      </c>
    </row>
    <row r="260" spans="1:3">
      <c r="A260" s="1" t="s">
        <v>485</v>
      </c>
      <c r="B260" t="s">
        <v>486</v>
      </c>
      <c r="C260" s="2">
        <v>-1.79308</v>
      </c>
    </row>
    <row r="261" spans="1:3">
      <c r="A261" s="1" t="s">
        <v>487</v>
      </c>
      <c r="B261" t="s">
        <v>488</v>
      </c>
      <c r="C261" s="2">
        <v>-0.88607009999999997</v>
      </c>
    </row>
    <row r="262" spans="1:3">
      <c r="A262" s="1" t="s">
        <v>489</v>
      </c>
      <c r="B262" t="s">
        <v>490</v>
      </c>
      <c r="C262" s="2">
        <v>1.0316799999999999</v>
      </c>
    </row>
    <row r="263" spans="1:3">
      <c r="A263" s="1" t="s">
        <v>491</v>
      </c>
      <c r="B263" t="s">
        <v>492</v>
      </c>
      <c r="C263" s="2">
        <v>0.29049930000000002</v>
      </c>
    </row>
    <row r="264" spans="1:3">
      <c r="A264" s="1" t="s">
        <v>493</v>
      </c>
      <c r="B264" t="s">
        <v>494</v>
      </c>
      <c r="C264" s="2">
        <v>1.123739</v>
      </c>
    </row>
    <row r="265" spans="1:3">
      <c r="A265" s="1" t="s">
        <v>495</v>
      </c>
      <c r="B265" t="s">
        <v>496</v>
      </c>
      <c r="C265" s="2">
        <v>0.7731112</v>
      </c>
    </row>
    <row r="266" spans="1:3">
      <c r="A266" s="1" t="s">
        <v>497</v>
      </c>
      <c r="B266" t="s">
        <v>498</v>
      </c>
      <c r="C266" s="2">
        <v>1.229622</v>
      </c>
    </row>
    <row r="267" spans="1:3">
      <c r="A267" s="1" t="s">
        <v>499</v>
      </c>
      <c r="B267" t="s">
        <v>500</v>
      </c>
      <c r="C267" s="2">
        <v>1.4707399999999999</v>
      </c>
    </row>
    <row r="268" spans="1:3">
      <c r="A268" s="1" t="s">
        <v>501</v>
      </c>
      <c r="B268" t="s">
        <v>502</v>
      </c>
      <c r="C268" s="2">
        <v>1.5176369999999999</v>
      </c>
    </row>
    <row r="269" spans="1:3">
      <c r="A269" s="1" t="s">
        <v>503</v>
      </c>
      <c r="B269" t="s">
        <v>504</v>
      </c>
      <c r="C269" s="2">
        <v>1.190631</v>
      </c>
    </row>
    <row r="270" spans="1:3">
      <c r="A270" s="1" t="s">
        <v>505</v>
      </c>
      <c r="B270" t="s">
        <v>506</v>
      </c>
      <c r="C270" s="2">
        <v>1.316551</v>
      </c>
    </row>
    <row r="271" spans="1:3">
      <c r="A271" s="1" t="s">
        <v>507</v>
      </c>
      <c r="B271" t="s">
        <v>508</v>
      </c>
      <c r="C271" s="2">
        <v>1.170131</v>
      </c>
    </row>
    <row r="272" spans="1:3">
      <c r="A272" s="1" t="s">
        <v>509</v>
      </c>
      <c r="B272" t="s">
        <v>510</v>
      </c>
      <c r="C272" s="2">
        <v>1.3519589999999999</v>
      </c>
    </row>
    <row r="273" spans="1:3">
      <c r="A273" s="1" t="s">
        <v>511</v>
      </c>
      <c r="B273" t="s">
        <v>512</v>
      </c>
      <c r="C273" s="2">
        <v>-0.120451</v>
      </c>
    </row>
    <row r="274" spans="1:3">
      <c r="A274" s="1" t="s">
        <v>513</v>
      </c>
      <c r="B274" t="s">
        <v>514</v>
      </c>
      <c r="C274" s="2">
        <v>-0.1105672</v>
      </c>
    </row>
    <row r="275" spans="1:3">
      <c r="A275" s="1" t="s">
        <v>515</v>
      </c>
      <c r="B275" t="s">
        <v>516</v>
      </c>
      <c r="C275" s="2">
        <v>0.94084380000000001</v>
      </c>
    </row>
    <row r="276" spans="1:3">
      <c r="A276" s="1" t="s">
        <v>517</v>
      </c>
      <c r="B276" t="s">
        <v>518</v>
      </c>
      <c r="C276" s="2">
        <v>0.33849439999999997</v>
      </c>
    </row>
    <row r="277" spans="1:3">
      <c r="A277" s="1" t="s">
        <v>519</v>
      </c>
      <c r="B277" t="s">
        <v>520</v>
      </c>
      <c r="C277" s="2">
        <v>-0.38213910000000001</v>
      </c>
    </row>
    <row r="278" spans="1:3">
      <c r="A278" s="1" t="s">
        <v>521</v>
      </c>
      <c r="B278" t="s">
        <v>522</v>
      </c>
      <c r="C278" s="2">
        <v>-0.62897930000000002</v>
      </c>
    </row>
    <row r="279" spans="1:3">
      <c r="A279" s="1" t="s">
        <v>523</v>
      </c>
      <c r="B279" t="s">
        <v>524</v>
      </c>
      <c r="C279" s="2">
        <v>0.65669180000000005</v>
      </c>
    </row>
    <row r="280" spans="1:3">
      <c r="A280" s="1" t="s">
        <v>525</v>
      </c>
      <c r="B280" t="s">
        <v>526</v>
      </c>
      <c r="C280" s="2">
        <v>5.1626699999999998E-2</v>
      </c>
    </row>
    <row r="281" spans="1:3">
      <c r="A281" s="1" t="s">
        <v>527</v>
      </c>
      <c r="B281" t="s">
        <v>528</v>
      </c>
      <c r="C281" s="2">
        <v>-0.34765160000000001</v>
      </c>
    </row>
    <row r="282" spans="1:3">
      <c r="A282" s="1" t="s">
        <v>529</v>
      </c>
      <c r="B282" t="s">
        <v>530</v>
      </c>
      <c r="C282" s="2">
        <v>-0.33027380000000001</v>
      </c>
    </row>
    <row r="283" spans="1:3">
      <c r="A283" s="1" t="s">
        <v>531</v>
      </c>
      <c r="B283" t="s">
        <v>532</v>
      </c>
      <c r="C283" s="2">
        <v>2.0533099999999999E-2</v>
      </c>
    </row>
    <row r="284" spans="1:3">
      <c r="A284" s="1" t="s">
        <v>533</v>
      </c>
      <c r="B284" t="s">
        <v>534</v>
      </c>
      <c r="C284" s="2">
        <v>-0.21448449999999999</v>
      </c>
    </row>
    <row r="285" spans="1:3">
      <c r="A285" s="1" t="s">
        <v>535</v>
      </c>
      <c r="B285" t="s">
        <v>536</v>
      </c>
      <c r="C285" s="2">
        <v>1.3638920000000001</v>
      </c>
    </row>
    <row r="286" spans="1:3">
      <c r="A286" s="1" t="s">
        <v>537</v>
      </c>
      <c r="B286" t="s">
        <v>538</v>
      </c>
      <c r="C286" s="2">
        <v>0.20033190000000001</v>
      </c>
    </row>
    <row r="287" spans="1:3">
      <c r="A287" s="1" t="s">
        <v>539</v>
      </c>
      <c r="B287" t="s">
        <v>540</v>
      </c>
      <c r="C287" s="2">
        <v>0.57059590000000004</v>
      </c>
    </row>
    <row r="288" spans="1:3">
      <c r="A288" s="1" t="s">
        <v>541</v>
      </c>
      <c r="B288" t="s">
        <v>542</v>
      </c>
      <c r="C288" s="2">
        <v>0.21180399999999999</v>
      </c>
    </row>
    <row r="289" spans="1:3">
      <c r="A289" s="1" t="s">
        <v>543</v>
      </c>
      <c r="B289" t="s">
        <v>544</v>
      </c>
      <c r="C289" s="2">
        <v>1.115116</v>
      </c>
    </row>
    <row r="290" spans="1:3">
      <c r="A290" s="1" t="s">
        <v>545</v>
      </c>
      <c r="B290" t="s">
        <v>546</v>
      </c>
      <c r="C290" s="2">
        <v>1.0013160000000001</v>
      </c>
    </row>
    <row r="291" spans="1:3">
      <c r="A291" s="1" t="s">
        <v>547</v>
      </c>
      <c r="B291" t="s">
        <v>548</v>
      </c>
      <c r="C291" s="2">
        <v>0.36442819999999998</v>
      </c>
    </row>
    <row r="292" spans="1:3">
      <c r="A292" s="1" t="s">
        <v>549</v>
      </c>
      <c r="B292" t="s">
        <v>550</v>
      </c>
      <c r="C292" s="2">
        <v>1.146142</v>
      </c>
    </row>
    <row r="293" spans="1:3">
      <c r="A293" s="1" t="s">
        <v>551</v>
      </c>
      <c r="B293" t="s">
        <v>552</v>
      </c>
      <c r="C293" s="2">
        <v>1.3658920000000001</v>
      </c>
    </row>
    <row r="294" spans="1:3">
      <c r="A294" s="1" t="s">
        <v>553</v>
      </c>
      <c r="B294" t="s">
        <v>554</v>
      </c>
      <c r="C294" s="2">
        <v>-0.14547599999999999</v>
      </c>
    </row>
    <row r="295" spans="1:3">
      <c r="A295" s="1" t="s">
        <v>555</v>
      </c>
      <c r="B295" t="s">
        <v>556</v>
      </c>
      <c r="C295" s="2">
        <v>0.61868710000000005</v>
      </c>
    </row>
    <row r="296" spans="1:3">
      <c r="A296" s="1" t="s">
        <v>557</v>
      </c>
      <c r="B296" t="s">
        <v>558</v>
      </c>
      <c r="C296" s="2">
        <v>4.0240900000000003E-2</v>
      </c>
    </row>
    <row r="297" spans="1:3">
      <c r="A297" s="1" t="s">
        <v>559</v>
      </c>
      <c r="B297" t="s">
        <v>560</v>
      </c>
      <c r="C297" s="2">
        <v>0.55372569999999999</v>
      </c>
    </row>
    <row r="298" spans="1:3">
      <c r="A298" s="1" t="s">
        <v>561</v>
      </c>
      <c r="B298" t="s">
        <v>562</v>
      </c>
      <c r="C298" s="2">
        <v>0.26570480000000002</v>
      </c>
    </row>
    <row r="299" spans="1:3">
      <c r="A299" s="1" t="s">
        <v>563</v>
      </c>
      <c r="B299" t="s">
        <v>564</v>
      </c>
      <c r="C299" s="2">
        <v>-5.8814600000000002E-2</v>
      </c>
    </row>
    <row r="300" spans="1:3">
      <c r="A300" s="1" t="s">
        <v>565</v>
      </c>
      <c r="B300" t="s">
        <v>566</v>
      </c>
      <c r="C300" s="2">
        <v>-0.31617709999999999</v>
      </c>
    </row>
    <row r="301" spans="1:3">
      <c r="A301" s="1" t="s">
        <v>567</v>
      </c>
      <c r="B301" t="s">
        <v>568</v>
      </c>
      <c r="C301" s="2">
        <v>0.40096779999999999</v>
      </c>
    </row>
    <row r="302" spans="1:3">
      <c r="A302" s="1" t="s">
        <v>569</v>
      </c>
      <c r="B302" t="s">
        <v>570</v>
      </c>
      <c r="C302" s="2">
        <v>-0.1994213</v>
      </c>
    </row>
    <row r="303" spans="1:3">
      <c r="A303" s="1" t="s">
        <v>571</v>
      </c>
      <c r="B303" t="s">
        <v>572</v>
      </c>
      <c r="C303" s="2">
        <v>1.3433440000000001</v>
      </c>
    </row>
    <row r="304" spans="1:3">
      <c r="A304" s="1" t="s">
        <v>573</v>
      </c>
      <c r="B304" t="s">
        <v>574</v>
      </c>
      <c r="C304" s="2">
        <v>0.30661959999999999</v>
      </c>
    </row>
    <row r="305" spans="1:3">
      <c r="A305" s="1" t="s">
        <v>575</v>
      </c>
      <c r="B305" t="s">
        <v>576</v>
      </c>
      <c r="C305" s="2">
        <v>-8.4255300000000005E-2</v>
      </c>
    </row>
    <row r="306" spans="1:3">
      <c r="A306" s="1" t="s">
        <v>577</v>
      </c>
      <c r="B306" t="s">
        <v>578</v>
      </c>
      <c r="C306" s="2">
        <v>0.27239039999999998</v>
      </c>
    </row>
    <row r="307" spans="1:3">
      <c r="A307" s="1" t="s">
        <v>579</v>
      </c>
      <c r="B307" t="s">
        <v>580</v>
      </c>
      <c r="C307" s="2">
        <v>0.13441159999999999</v>
      </c>
    </row>
    <row r="308" spans="1:3">
      <c r="A308" s="1" t="s">
        <v>581</v>
      </c>
      <c r="B308" t="s">
        <v>582</v>
      </c>
      <c r="C308" s="2">
        <v>0.3052241</v>
      </c>
    </row>
    <row r="309" spans="1:3">
      <c r="A309" s="1" t="s">
        <v>583</v>
      </c>
      <c r="B309" t="s">
        <v>584</v>
      </c>
      <c r="C309" s="2">
        <v>0.30165960000000003</v>
      </c>
    </row>
    <row r="310" spans="1:3">
      <c r="A310" s="1" t="s">
        <v>585</v>
      </c>
      <c r="B310" t="s">
        <v>586</v>
      </c>
      <c r="C310" s="2">
        <v>0.69553920000000002</v>
      </c>
    </row>
    <row r="311" spans="1:3">
      <c r="A311" s="1" t="s">
        <v>587</v>
      </c>
      <c r="B311" t="s">
        <v>588</v>
      </c>
      <c r="C311" s="2">
        <v>0.67882770000000003</v>
      </c>
    </row>
    <row r="312" spans="1:3">
      <c r="A312" s="1" t="s">
        <v>589</v>
      </c>
      <c r="B312" t="s">
        <v>590</v>
      </c>
      <c r="C312" s="2">
        <v>-4.2348999999999998E-2</v>
      </c>
    </row>
    <row r="313" spans="1:3">
      <c r="A313" s="1" t="s">
        <v>591</v>
      </c>
      <c r="B313" t="s">
        <v>592</v>
      </c>
      <c r="C313" s="2">
        <v>-0.2827884</v>
      </c>
    </row>
    <row r="314" spans="1:3">
      <c r="A314" s="1" t="s">
        <v>593</v>
      </c>
      <c r="B314" t="s">
        <v>594</v>
      </c>
      <c r="C314" s="2">
        <v>-0.35246749999999999</v>
      </c>
    </row>
    <row r="315" spans="1:3">
      <c r="A315" s="1" t="s">
        <v>595</v>
      </c>
      <c r="B315" t="s">
        <v>596</v>
      </c>
      <c r="C315" s="2">
        <v>-0.13129299999999999</v>
      </c>
    </row>
    <row r="316" spans="1:3">
      <c r="A316" s="1" t="s">
        <v>597</v>
      </c>
      <c r="B316" t="s">
        <v>598</v>
      </c>
      <c r="C316" s="2">
        <v>-0.27432020000000001</v>
      </c>
    </row>
    <row r="317" spans="1:3">
      <c r="A317" s="1" t="s">
        <v>599</v>
      </c>
      <c r="B317" t="s">
        <v>600</v>
      </c>
      <c r="C317" s="2">
        <v>-2.26015E-2</v>
      </c>
    </row>
    <row r="318" spans="1:3">
      <c r="A318" s="1" t="s">
        <v>601</v>
      </c>
      <c r="B318" t="s">
        <v>602</v>
      </c>
      <c r="C318" s="2">
        <v>-0.40483419999999998</v>
      </c>
    </row>
    <row r="319" spans="1:3">
      <c r="A319" s="1" t="s">
        <v>603</v>
      </c>
      <c r="B319" t="s">
        <v>604</v>
      </c>
      <c r="C319" s="2">
        <v>-0.13662830000000001</v>
      </c>
    </row>
    <row r="320" spans="1:3">
      <c r="A320" s="1" t="s">
        <v>605</v>
      </c>
      <c r="B320" t="s">
        <v>606</v>
      </c>
      <c r="C320" s="2">
        <v>-0.69944729999999999</v>
      </c>
    </row>
    <row r="321" spans="1:3">
      <c r="A321" s="1" t="s">
        <v>607</v>
      </c>
      <c r="B321" t="s">
        <v>608</v>
      </c>
      <c r="C321" s="2">
        <v>-0.12773889999999999</v>
      </c>
    </row>
    <row r="322" spans="1:3">
      <c r="A322" s="1" t="s">
        <v>609</v>
      </c>
      <c r="B322" t="s">
        <v>610</v>
      </c>
      <c r="C322" s="2">
        <v>-2.3385599999999999E-2</v>
      </c>
    </row>
    <row r="323" spans="1:3">
      <c r="A323" s="1" t="s">
        <v>611</v>
      </c>
      <c r="B323" t="s">
        <v>612</v>
      </c>
      <c r="C323" s="2">
        <v>-1.1000000000000001E-3</v>
      </c>
    </row>
    <row r="324" spans="1:3">
      <c r="A324" s="1" t="s">
        <v>613</v>
      </c>
      <c r="B324" t="s">
        <v>614</v>
      </c>
      <c r="C324" s="2">
        <v>-8.8305900000000007E-2</v>
      </c>
    </row>
    <row r="325" spans="1:3">
      <c r="A325" s="1" t="s">
        <v>615</v>
      </c>
      <c r="B325" t="s">
        <v>616</v>
      </c>
      <c r="C325" s="2">
        <v>-0.54176349999999995</v>
      </c>
    </row>
    <row r="326" spans="1:3">
      <c r="A326" s="1" t="s">
        <v>617</v>
      </c>
      <c r="B326" t="s">
        <v>618</v>
      </c>
      <c r="C326" s="2">
        <v>-0.28196320000000002</v>
      </c>
    </row>
    <row r="327" spans="1:3">
      <c r="A327" s="1" t="s">
        <v>619</v>
      </c>
      <c r="B327" t="s">
        <v>620</v>
      </c>
      <c r="C327" s="2">
        <v>8.2902100000000006E-2</v>
      </c>
    </row>
    <row r="328" spans="1:3">
      <c r="A328" s="1" t="s">
        <v>621</v>
      </c>
      <c r="B328" t="s">
        <v>622</v>
      </c>
      <c r="C328" s="2">
        <v>-0.29799219999999998</v>
      </c>
    </row>
    <row r="329" spans="1:3">
      <c r="A329" s="1" t="s">
        <v>623</v>
      </c>
      <c r="B329" t="s">
        <v>624</v>
      </c>
      <c r="C329" s="2">
        <v>0.55240889999999998</v>
      </c>
    </row>
    <row r="330" spans="1:3">
      <c r="A330" s="1" t="s">
        <v>625</v>
      </c>
      <c r="B330" t="s">
        <v>626</v>
      </c>
      <c r="C330" s="2">
        <v>2.8575099999999999E-2</v>
      </c>
    </row>
    <row r="331" spans="1:3">
      <c r="A331" s="1" t="s">
        <v>627</v>
      </c>
      <c r="B331" t="s">
        <v>628</v>
      </c>
      <c r="C331" s="2">
        <v>0.12564120000000001</v>
      </c>
    </row>
    <row r="332" spans="1:3">
      <c r="A332" s="1" t="s">
        <v>629</v>
      </c>
      <c r="B332" t="s">
        <v>630</v>
      </c>
      <c r="C332" s="2">
        <v>0.45848050000000001</v>
      </c>
    </row>
    <row r="333" spans="1:3">
      <c r="A333" s="1" t="s">
        <v>631</v>
      </c>
      <c r="B333" t="s">
        <v>632</v>
      </c>
      <c r="C333" s="2">
        <v>-0.28052670000000002</v>
      </c>
    </row>
    <row r="334" spans="1:3">
      <c r="A334" s="1" t="s">
        <v>633</v>
      </c>
      <c r="B334" t="s">
        <v>634</v>
      </c>
      <c r="C334" s="2">
        <v>0.59787420000000002</v>
      </c>
    </row>
    <row r="335" spans="1:3">
      <c r="A335" s="1" t="s">
        <v>635</v>
      </c>
      <c r="B335" t="s">
        <v>636</v>
      </c>
      <c r="C335" s="2">
        <v>0.32896370000000003</v>
      </c>
    </row>
    <row r="336" spans="1:3">
      <c r="A336" s="1" t="s">
        <v>637</v>
      </c>
      <c r="B336" t="s">
        <v>638</v>
      </c>
      <c r="C336" s="2">
        <v>-9.5396800000000004E-2</v>
      </c>
    </row>
    <row r="337" spans="1:3">
      <c r="A337" s="1" t="s">
        <v>639</v>
      </c>
      <c r="B337" t="s">
        <v>640</v>
      </c>
      <c r="C337" s="2">
        <v>1.477603</v>
      </c>
    </row>
    <row r="338" spans="1:3">
      <c r="A338" s="1" t="s">
        <v>641</v>
      </c>
      <c r="B338" t="s">
        <v>642</v>
      </c>
      <c r="C338" s="2">
        <v>0.27859469999999997</v>
      </c>
    </row>
    <row r="339" spans="1:3">
      <c r="A339" s="1" t="s">
        <v>643</v>
      </c>
      <c r="B339" t="s">
        <v>644</v>
      </c>
      <c r="C339" s="2">
        <v>-0.40481400000000001</v>
      </c>
    </row>
    <row r="340" spans="1:3">
      <c r="A340" s="1" t="s">
        <v>645</v>
      </c>
      <c r="B340" t="s">
        <v>646</v>
      </c>
      <c r="C340" s="2">
        <v>-0.27464189999999999</v>
      </c>
    </row>
    <row r="341" spans="1:3">
      <c r="A341" s="1" t="s">
        <v>647</v>
      </c>
      <c r="B341" t="s">
        <v>648</v>
      </c>
      <c r="C341" s="2">
        <v>-0.51484660000000004</v>
      </c>
    </row>
    <row r="342" spans="1:3">
      <c r="A342" s="1" t="s">
        <v>649</v>
      </c>
      <c r="B342" t="s">
        <v>650</v>
      </c>
      <c r="C342" s="2">
        <v>-1.08762</v>
      </c>
    </row>
    <row r="343" spans="1:3">
      <c r="A343" s="1" t="s">
        <v>651</v>
      </c>
      <c r="B343" t="s">
        <v>652</v>
      </c>
      <c r="C343" s="2">
        <v>-7.4520500000000003E-2</v>
      </c>
    </row>
    <row r="344" spans="1:3">
      <c r="A344" s="1" t="s">
        <v>653</v>
      </c>
      <c r="B344" t="s">
        <v>654</v>
      </c>
      <c r="C344" s="2">
        <v>-0.35732229999999998</v>
      </c>
    </row>
    <row r="345" spans="1:3">
      <c r="A345" s="1" t="s">
        <v>655</v>
      </c>
      <c r="B345" t="s">
        <v>656</v>
      </c>
      <c r="C345" s="2">
        <v>-0.24727789999999999</v>
      </c>
    </row>
    <row r="346" spans="1:3">
      <c r="A346" s="1" t="s">
        <v>657</v>
      </c>
      <c r="B346" t="s">
        <v>658</v>
      </c>
      <c r="C346" s="2">
        <v>-0.61481920000000001</v>
      </c>
    </row>
    <row r="347" spans="1:3">
      <c r="A347" s="1" t="s">
        <v>659</v>
      </c>
      <c r="B347" t="s">
        <v>660</v>
      </c>
      <c r="C347" s="2">
        <v>-0.68188910000000003</v>
      </c>
    </row>
    <row r="348" spans="1:3">
      <c r="A348" s="1" t="s">
        <v>661</v>
      </c>
      <c r="B348" t="s">
        <v>662</v>
      </c>
      <c r="C348" s="2">
        <v>-0.34585369999999999</v>
      </c>
    </row>
    <row r="349" spans="1:3">
      <c r="A349" s="1" t="s">
        <v>663</v>
      </c>
      <c r="B349" t="s">
        <v>664</v>
      </c>
      <c r="C349" s="2">
        <v>0.23564879999999999</v>
      </c>
    </row>
    <row r="350" spans="1:3">
      <c r="A350" s="1" t="s">
        <v>665</v>
      </c>
      <c r="B350" t="s">
        <v>666</v>
      </c>
      <c r="C350" s="2">
        <v>-0.77628759999999997</v>
      </c>
    </row>
    <row r="351" spans="1:3">
      <c r="A351" s="1" t="s">
        <v>667</v>
      </c>
      <c r="B351" t="s">
        <v>668</v>
      </c>
      <c r="C351" s="2">
        <v>1.1961809999999999</v>
      </c>
    </row>
    <row r="352" spans="1:3">
      <c r="A352" s="1" t="s">
        <v>669</v>
      </c>
      <c r="B352" t="s">
        <v>670</v>
      </c>
      <c r="C352" s="2">
        <v>-2.84926E-2</v>
      </c>
    </row>
    <row r="353" spans="1:3">
      <c r="A353" s="1" t="s">
        <v>671</v>
      </c>
      <c r="B353" t="s">
        <v>672</v>
      </c>
      <c r="C353" s="2">
        <v>-0.58994880000000005</v>
      </c>
    </row>
    <row r="354" spans="1:3">
      <c r="A354" s="1" t="s">
        <v>673</v>
      </c>
      <c r="B354" t="s">
        <v>674</v>
      </c>
      <c r="C354" s="2">
        <v>-0.25260349999999998</v>
      </c>
    </row>
    <row r="355" spans="1:3">
      <c r="A355" s="1" t="s">
        <v>675</v>
      </c>
      <c r="B355" t="s">
        <v>676</v>
      </c>
      <c r="C355" s="2">
        <v>0.25206489999999998</v>
      </c>
    </row>
    <row r="356" spans="1:3">
      <c r="A356" s="1" t="s">
        <v>677</v>
      </c>
      <c r="B356" t="s">
        <v>678</v>
      </c>
      <c r="C356" s="2">
        <v>-0.36143209999999998</v>
      </c>
    </row>
    <row r="357" spans="1:3">
      <c r="A357" s="1" t="s">
        <v>679</v>
      </c>
      <c r="B357" t="s">
        <v>680</v>
      </c>
      <c r="C357" s="2">
        <v>-0.1961966</v>
      </c>
    </row>
    <row r="358" spans="1:3">
      <c r="A358" s="1" t="s">
        <v>681</v>
      </c>
      <c r="B358" t="s">
        <v>682</v>
      </c>
      <c r="C358" s="2">
        <v>-0.636405</v>
      </c>
    </row>
    <row r="359" spans="1:3">
      <c r="A359" s="1" t="s">
        <v>683</v>
      </c>
      <c r="B359" t="s">
        <v>684</v>
      </c>
      <c r="C359" s="2">
        <v>-1.2871250000000001</v>
      </c>
    </row>
    <row r="360" spans="1:3">
      <c r="A360" s="1" t="s">
        <v>685</v>
      </c>
      <c r="B360" t="s">
        <v>686</v>
      </c>
      <c r="C360" s="2">
        <v>-0.15169079999999999</v>
      </c>
    </row>
    <row r="361" spans="1:3">
      <c r="A361" s="1" t="s">
        <v>687</v>
      </c>
      <c r="B361" t="s">
        <v>688</v>
      </c>
      <c r="C361" s="2">
        <v>-0.34185389999999999</v>
      </c>
    </row>
    <row r="362" spans="1:3">
      <c r="A362" s="1" t="s">
        <v>689</v>
      </c>
      <c r="B362" t="s">
        <v>690</v>
      </c>
      <c r="C362" s="2">
        <v>-0.17052610000000001</v>
      </c>
    </row>
    <row r="363" spans="1:3">
      <c r="A363" s="1" t="s">
        <v>691</v>
      </c>
      <c r="B363" t="s">
        <v>692</v>
      </c>
      <c r="C363" s="2">
        <v>-0.66908970000000001</v>
      </c>
    </row>
    <row r="364" spans="1:3">
      <c r="A364" s="1" t="s">
        <v>693</v>
      </c>
      <c r="B364" t="s">
        <v>694</v>
      </c>
      <c r="C364" s="2">
        <v>0.1511265</v>
      </c>
    </row>
    <row r="365" spans="1:3">
      <c r="A365" s="1" t="s">
        <v>695</v>
      </c>
      <c r="B365" t="s">
        <v>696</v>
      </c>
      <c r="C365" s="2">
        <v>-0.50554840000000001</v>
      </c>
    </row>
    <row r="366" spans="1:3">
      <c r="A366" s="1" t="s">
        <v>697</v>
      </c>
      <c r="B366" t="s">
        <v>698</v>
      </c>
      <c r="C366" s="2">
        <v>-0.62735609999999997</v>
      </c>
    </row>
    <row r="367" spans="1:3">
      <c r="A367" s="1" t="s">
        <v>699</v>
      </c>
      <c r="B367" t="s">
        <v>700</v>
      </c>
      <c r="C367" s="2">
        <v>-0.64020140000000003</v>
      </c>
    </row>
    <row r="368" spans="1:3">
      <c r="A368" s="1" t="s">
        <v>701</v>
      </c>
      <c r="B368" t="s">
        <v>702</v>
      </c>
      <c r="C368" s="2">
        <v>-0.74474059999999997</v>
      </c>
    </row>
    <row r="369" spans="1:3">
      <c r="A369" s="1" t="s">
        <v>703</v>
      </c>
      <c r="B369" t="s">
        <v>704</v>
      </c>
      <c r="C369" s="2">
        <v>-0.39025850000000001</v>
      </c>
    </row>
    <row r="370" spans="1:3">
      <c r="A370" s="1" t="s">
        <v>705</v>
      </c>
      <c r="B370" t="s">
        <v>706</v>
      </c>
      <c r="C370" s="2">
        <v>0.61476249999999999</v>
      </c>
    </row>
    <row r="371" spans="1:3">
      <c r="A371" s="1" t="s">
        <v>707</v>
      </c>
      <c r="B371" t="s">
        <v>708</v>
      </c>
      <c r="C371" s="2">
        <v>0.43274240000000003</v>
      </c>
    </row>
    <row r="372" spans="1:3">
      <c r="A372" s="1" t="s">
        <v>709</v>
      </c>
      <c r="B372" t="s">
        <v>710</v>
      </c>
      <c r="C372" s="2">
        <v>-0.4228095</v>
      </c>
    </row>
    <row r="373" spans="1:3">
      <c r="A373" s="1" t="s">
        <v>711</v>
      </c>
      <c r="B373" t="s">
        <v>712</v>
      </c>
      <c r="C373" s="2">
        <v>-0.39716610000000002</v>
      </c>
    </row>
    <row r="374" spans="1:3">
      <c r="A374" s="1" t="s">
        <v>713</v>
      </c>
      <c r="B374" t="s">
        <v>714</v>
      </c>
      <c r="C374" s="2">
        <v>-0.3161409</v>
      </c>
    </row>
    <row r="375" spans="1:3">
      <c r="A375" s="1" t="s">
        <v>715</v>
      </c>
      <c r="B375" t="s">
        <v>716</v>
      </c>
      <c r="C375" s="2">
        <v>-0.52295550000000002</v>
      </c>
    </row>
    <row r="376" spans="1:3">
      <c r="A376" s="1" t="s">
        <v>717</v>
      </c>
      <c r="B376" t="s">
        <v>718</v>
      </c>
      <c r="C376" s="2">
        <v>-1.7191000000000001E-2</v>
      </c>
    </row>
    <row r="377" spans="1:3">
      <c r="A377" s="1" t="s">
        <v>719</v>
      </c>
      <c r="B377" t="s">
        <v>720</v>
      </c>
      <c r="C377" s="2">
        <v>-0.17203089999999999</v>
      </c>
    </row>
    <row r="378" spans="1:3">
      <c r="A378" s="1" t="s">
        <v>721</v>
      </c>
      <c r="B378" t="s">
        <v>722</v>
      </c>
      <c r="C378" s="2">
        <v>-0.15014430000000001</v>
      </c>
    </row>
    <row r="379" spans="1:3">
      <c r="A379" s="1" t="s">
        <v>723</v>
      </c>
      <c r="B379" t="s">
        <v>724</v>
      </c>
      <c r="C379" s="2">
        <v>-0.39062259999999999</v>
      </c>
    </row>
    <row r="380" spans="1:3">
      <c r="A380" s="1" t="s">
        <v>725</v>
      </c>
      <c r="B380" t="s">
        <v>726</v>
      </c>
      <c r="C380" s="2">
        <v>-0.55869230000000003</v>
      </c>
    </row>
    <row r="381" spans="1:3">
      <c r="A381" s="1" t="s">
        <v>727</v>
      </c>
      <c r="B381" t="s">
        <v>728</v>
      </c>
      <c r="C381" s="2">
        <v>-0.63945079999999999</v>
      </c>
    </row>
    <row r="382" spans="1:3">
      <c r="A382" s="1" t="s">
        <v>729</v>
      </c>
      <c r="B382" t="s">
        <v>730</v>
      </c>
      <c r="C382" s="2">
        <v>-0.75855879999999998</v>
      </c>
    </row>
    <row r="383" spans="1:3">
      <c r="A383" s="1" t="s">
        <v>731</v>
      </c>
      <c r="B383" t="s">
        <v>732</v>
      </c>
      <c r="C383" s="2">
        <v>-0.56743619999999995</v>
      </c>
    </row>
    <row r="384" spans="1:3">
      <c r="A384" s="1" t="s">
        <v>733</v>
      </c>
      <c r="B384" t="s">
        <v>734</v>
      </c>
      <c r="C384" s="2">
        <v>-0.93398870000000001</v>
      </c>
    </row>
    <row r="385" spans="1:3">
      <c r="A385" s="1" t="s">
        <v>735</v>
      </c>
      <c r="B385" t="s">
        <v>736</v>
      </c>
      <c r="C385" s="2">
        <v>-0.41099960000000002</v>
      </c>
    </row>
    <row r="386" spans="1:3">
      <c r="A386" s="1" t="s">
        <v>737</v>
      </c>
      <c r="B386" t="s">
        <v>738</v>
      </c>
      <c r="C386" s="2">
        <v>-0.30839480000000002</v>
      </c>
    </row>
    <row r="387" spans="1:3">
      <c r="A387" s="1" t="s">
        <v>739</v>
      </c>
      <c r="B387" t="s">
        <v>740</v>
      </c>
      <c r="C387" s="2">
        <v>-0.32110860000000002</v>
      </c>
    </row>
    <row r="388" spans="1:3">
      <c r="A388" s="1" t="s">
        <v>741</v>
      </c>
      <c r="B388" t="s">
        <v>742</v>
      </c>
      <c r="C388" s="2">
        <v>-0.46934019999999999</v>
      </c>
    </row>
    <row r="389" spans="1:3">
      <c r="A389" s="1" t="s">
        <v>743</v>
      </c>
      <c r="B389" t="s">
        <v>744</v>
      </c>
      <c r="C389" s="2">
        <v>-0.44503310000000001</v>
      </c>
    </row>
    <row r="390" spans="1:3">
      <c r="A390" s="1" t="s">
        <v>745</v>
      </c>
      <c r="B390" t="s">
        <v>746</v>
      </c>
      <c r="C390" s="2">
        <v>-1.432733</v>
      </c>
    </row>
    <row r="391" spans="1:3">
      <c r="A391" s="1" t="s">
        <v>747</v>
      </c>
      <c r="B391" t="s">
        <v>748</v>
      </c>
      <c r="C391" s="2">
        <v>-1.5611630000000001</v>
      </c>
    </row>
    <row r="392" spans="1:3">
      <c r="A392" s="1" t="s">
        <v>749</v>
      </c>
      <c r="B392" t="s">
        <v>750</v>
      </c>
      <c r="C392" s="2">
        <v>0.1821651</v>
      </c>
    </row>
    <row r="393" spans="1:3">
      <c r="A393" s="1" t="s">
        <v>751</v>
      </c>
      <c r="B393" t="s">
        <v>752</v>
      </c>
      <c r="C393" s="2">
        <v>-0.36688520000000002</v>
      </c>
    </row>
    <row r="394" spans="1:3">
      <c r="A394" s="1" t="s">
        <v>753</v>
      </c>
      <c r="B394" t="s">
        <v>754</v>
      </c>
      <c r="C394" s="2">
        <v>-0.48555860000000001</v>
      </c>
    </row>
    <row r="395" spans="1:3">
      <c r="A395" s="1" t="s">
        <v>755</v>
      </c>
      <c r="B395" t="s">
        <v>756</v>
      </c>
      <c r="C395" s="2">
        <v>-1.0930420000000001</v>
      </c>
    </row>
    <row r="396" spans="1:3">
      <c r="A396" s="1" t="s">
        <v>757</v>
      </c>
      <c r="B396" t="s">
        <v>758</v>
      </c>
      <c r="C396" s="2">
        <v>-1.030813</v>
      </c>
    </row>
    <row r="397" spans="1:3">
      <c r="A397" s="1" t="s">
        <v>759</v>
      </c>
      <c r="B397" t="s">
        <v>760</v>
      </c>
      <c r="C397" s="2">
        <v>-0.72432819999999998</v>
      </c>
    </row>
    <row r="398" spans="1:3">
      <c r="A398" s="1" t="s">
        <v>761</v>
      </c>
      <c r="B398" t="s">
        <v>762</v>
      </c>
      <c r="C398" s="2">
        <v>-1.6564540000000001</v>
      </c>
    </row>
    <row r="399" spans="1:3">
      <c r="A399" s="1" t="s">
        <v>763</v>
      </c>
      <c r="B399" t="s">
        <v>764</v>
      </c>
      <c r="C399" s="2">
        <v>-0.93359449999999999</v>
      </c>
    </row>
    <row r="400" spans="1:3">
      <c r="A400" s="1" t="s">
        <v>765</v>
      </c>
      <c r="B400" t="s">
        <v>766</v>
      </c>
      <c r="C400" s="2">
        <v>-1.5807929999999999</v>
      </c>
    </row>
    <row r="401" spans="1:3">
      <c r="A401" s="1" t="s">
        <v>767</v>
      </c>
      <c r="B401" t="s">
        <v>768</v>
      </c>
      <c r="C401" s="2">
        <v>1.015314</v>
      </c>
    </row>
    <row r="402" spans="1:3">
      <c r="A402" s="1" t="s">
        <v>769</v>
      </c>
      <c r="B402" t="s">
        <v>770</v>
      </c>
      <c r="C402" s="2">
        <v>2.7020200000000001E-2</v>
      </c>
    </row>
    <row r="403" spans="1:3">
      <c r="A403" s="1" t="s">
        <v>771</v>
      </c>
      <c r="B403" t="s">
        <v>772</v>
      </c>
      <c r="C403" s="2">
        <v>0.62791779999999997</v>
      </c>
    </row>
    <row r="404" spans="1:3">
      <c r="A404" s="1" t="s">
        <v>773</v>
      </c>
      <c r="B404" t="s">
        <v>774</v>
      </c>
      <c r="C404" s="2">
        <v>-0.7293655</v>
      </c>
    </row>
    <row r="405" spans="1:3">
      <c r="A405" s="1" t="s">
        <v>775</v>
      </c>
      <c r="B405" t="s">
        <v>776</v>
      </c>
      <c r="C405" s="2">
        <v>-0.52798160000000005</v>
      </c>
    </row>
    <row r="406" spans="1:3">
      <c r="A406" s="1" t="s">
        <v>777</v>
      </c>
      <c r="B406" t="s">
        <v>778</v>
      </c>
      <c r="C406" s="2">
        <v>3.0290899999999999E-2</v>
      </c>
    </row>
    <row r="407" spans="1:3">
      <c r="A407" s="1" t="s">
        <v>779</v>
      </c>
      <c r="B407" t="s">
        <v>780</v>
      </c>
      <c r="C407" s="2">
        <v>0.36537799999999998</v>
      </c>
    </row>
    <row r="408" spans="1:3">
      <c r="A408" s="1" t="s">
        <v>781</v>
      </c>
      <c r="B408" t="s">
        <v>782</v>
      </c>
      <c r="C408" s="2">
        <v>-0.64943839999999997</v>
      </c>
    </row>
    <row r="409" spans="1:3">
      <c r="A409" s="1" t="s">
        <v>783</v>
      </c>
      <c r="B409" t="s">
        <v>784</v>
      </c>
      <c r="C409" s="2">
        <v>-0.1112865</v>
      </c>
    </row>
    <row r="410" spans="1:3">
      <c r="A410" s="1" t="s">
        <v>785</v>
      </c>
      <c r="B410" t="s">
        <v>786</v>
      </c>
      <c r="C410" s="2">
        <v>-0.2293367</v>
      </c>
    </row>
    <row r="411" spans="1:3">
      <c r="A411" s="1" t="s">
        <v>787</v>
      </c>
      <c r="B411" t="s">
        <v>788</v>
      </c>
      <c r="C411" s="2">
        <v>-0.29586489999999999</v>
      </c>
    </row>
    <row r="412" spans="1:3">
      <c r="A412" s="1" t="s">
        <v>789</v>
      </c>
      <c r="B412" t="s">
        <v>790</v>
      </c>
      <c r="C412" s="2">
        <v>0.27948879999999998</v>
      </c>
    </row>
    <row r="413" spans="1:3">
      <c r="A413" s="1" t="s">
        <v>791</v>
      </c>
      <c r="B413" t="s">
        <v>792</v>
      </c>
      <c r="C413" s="2">
        <v>-0.65714620000000001</v>
      </c>
    </row>
    <row r="414" spans="1:3">
      <c r="A414" s="1" t="s">
        <v>793</v>
      </c>
      <c r="B414" t="s">
        <v>794</v>
      </c>
      <c r="C414" s="2">
        <v>-0.1577413</v>
      </c>
    </row>
    <row r="415" spans="1:3">
      <c r="A415" s="1" t="s">
        <v>795</v>
      </c>
      <c r="B415" t="s">
        <v>796</v>
      </c>
      <c r="C415" s="2">
        <v>-0.1143887</v>
      </c>
    </row>
    <row r="416" spans="1:3">
      <c r="A416" s="1" t="s">
        <v>797</v>
      </c>
      <c r="B416" t="s">
        <v>798</v>
      </c>
      <c r="C416" s="2">
        <v>-0.54331850000000004</v>
      </c>
    </row>
    <row r="417" spans="1:3">
      <c r="A417" s="1" t="s">
        <v>799</v>
      </c>
      <c r="B417" t="s">
        <v>800</v>
      </c>
      <c r="C417" s="2">
        <v>-0.61555459999999995</v>
      </c>
    </row>
    <row r="418" spans="1:3">
      <c r="A418" s="1" t="s">
        <v>801</v>
      </c>
      <c r="B418" t="s">
        <v>802</v>
      </c>
      <c r="C418" s="2">
        <v>-0.49736710000000001</v>
      </c>
    </row>
    <row r="419" spans="1:3">
      <c r="A419" s="1" t="s">
        <v>803</v>
      </c>
      <c r="B419" t="s">
        <v>804</v>
      </c>
      <c r="C419" s="2">
        <v>-7.9224299999999998E-2</v>
      </c>
    </row>
    <row r="420" spans="1:3">
      <c r="A420" s="1" t="s">
        <v>805</v>
      </c>
      <c r="B420" t="s">
        <v>806</v>
      </c>
      <c r="C420" s="2">
        <v>-0.50059880000000001</v>
      </c>
    </row>
    <row r="421" spans="1:3">
      <c r="A421" s="1" t="s">
        <v>807</v>
      </c>
      <c r="B421" t="s">
        <v>808</v>
      </c>
      <c r="C421" s="2">
        <v>-3.7252500000000001E-2</v>
      </c>
    </row>
    <row r="422" spans="1:3">
      <c r="A422" s="1" t="s">
        <v>809</v>
      </c>
      <c r="B422" t="s">
        <v>810</v>
      </c>
      <c r="C422" s="2">
        <v>-0.91399960000000002</v>
      </c>
    </row>
    <row r="423" spans="1:3">
      <c r="A423" s="1" t="s">
        <v>811</v>
      </c>
      <c r="B423" t="s">
        <v>812</v>
      </c>
      <c r="C423" s="2">
        <v>1.070776</v>
      </c>
    </row>
    <row r="424" spans="1:3">
      <c r="A424" s="1" t="s">
        <v>813</v>
      </c>
      <c r="B424" t="s">
        <v>814</v>
      </c>
      <c r="C424" s="2">
        <v>0.73558279999999998</v>
      </c>
    </row>
    <row r="425" spans="1:3">
      <c r="A425" s="1" t="s">
        <v>815</v>
      </c>
      <c r="B425" t="s">
        <v>816</v>
      </c>
      <c r="C425" s="2">
        <v>0.55270699999999995</v>
      </c>
    </row>
    <row r="426" spans="1:3">
      <c r="A426" s="1" t="s">
        <v>817</v>
      </c>
      <c r="B426" t="s">
        <v>818</v>
      </c>
      <c r="C426" s="2">
        <v>-0.16749629999999999</v>
      </c>
    </row>
    <row r="427" spans="1:3">
      <c r="A427" s="1" t="s">
        <v>819</v>
      </c>
      <c r="B427" t="s">
        <v>820</v>
      </c>
      <c r="C427" s="2">
        <v>-0.20604420000000001</v>
      </c>
    </row>
    <row r="428" spans="1:3">
      <c r="A428" s="1" t="s">
        <v>821</v>
      </c>
      <c r="B428" t="s">
        <v>822</v>
      </c>
      <c r="C428" s="2">
        <v>-1.2572000000000001</v>
      </c>
    </row>
    <row r="429" spans="1:3">
      <c r="A429" s="1" t="s">
        <v>823</v>
      </c>
      <c r="B429" t="s">
        <v>824</v>
      </c>
      <c r="C429" s="2">
        <v>9.7008499999999998E-2</v>
      </c>
    </row>
    <row r="430" spans="1:3">
      <c r="A430" s="1" t="s">
        <v>825</v>
      </c>
      <c r="B430" t="s">
        <v>826</v>
      </c>
      <c r="C430" s="2">
        <v>0.71058290000000002</v>
      </c>
    </row>
    <row r="431" spans="1:3">
      <c r="A431" s="1" t="s">
        <v>827</v>
      </c>
      <c r="B431" t="s">
        <v>828</v>
      </c>
      <c r="C431" s="2">
        <v>0.20113819999999999</v>
      </c>
    </row>
    <row r="432" spans="1:3">
      <c r="A432" s="1" t="s">
        <v>829</v>
      </c>
      <c r="B432" t="s">
        <v>830</v>
      </c>
      <c r="C432" s="2">
        <v>1.2586390000000001</v>
      </c>
    </row>
    <row r="433" spans="1:3">
      <c r="A433" s="1" t="s">
        <v>831</v>
      </c>
      <c r="B433" t="s">
        <v>832</v>
      </c>
      <c r="C433" s="2">
        <v>-0.10747130000000001</v>
      </c>
    </row>
    <row r="434" spans="1:3">
      <c r="A434" s="1" t="s">
        <v>833</v>
      </c>
      <c r="B434" t="s">
        <v>834</v>
      </c>
      <c r="C434" s="2">
        <v>-0.10386140000000001</v>
      </c>
    </row>
    <row r="435" spans="1:3">
      <c r="A435" s="1" t="s">
        <v>835</v>
      </c>
      <c r="B435" t="s">
        <v>836</v>
      </c>
      <c r="C435" s="2">
        <v>0.1427099</v>
      </c>
    </row>
    <row r="436" spans="1:3">
      <c r="A436" s="1" t="s">
        <v>837</v>
      </c>
      <c r="B436" t="s">
        <v>838</v>
      </c>
      <c r="C436" s="2">
        <v>-1.3643199999999999E-2</v>
      </c>
    </row>
    <row r="437" spans="1:3">
      <c r="A437" s="1" t="s">
        <v>839</v>
      </c>
      <c r="B437" t="s">
        <v>840</v>
      </c>
      <c r="C437" s="2">
        <v>0.35739650000000001</v>
      </c>
    </row>
    <row r="438" spans="1:3">
      <c r="A438" s="1" t="s">
        <v>841</v>
      </c>
      <c r="B438" t="s">
        <v>842</v>
      </c>
      <c r="C438" s="2">
        <v>1.122101</v>
      </c>
    </row>
    <row r="439" spans="1:3">
      <c r="A439" s="1" t="s">
        <v>843</v>
      </c>
      <c r="B439" t="s">
        <v>844</v>
      </c>
      <c r="C439" s="2">
        <v>1.4269449999999999</v>
      </c>
    </row>
    <row r="440" spans="1:3">
      <c r="A440" s="1" t="s">
        <v>845</v>
      </c>
      <c r="B440" t="s">
        <v>846</v>
      </c>
      <c r="C440" s="2">
        <v>1.2599</v>
      </c>
    </row>
    <row r="441" spans="1:3">
      <c r="A441" s="1" t="s">
        <v>847</v>
      </c>
      <c r="B441" t="s">
        <v>848</v>
      </c>
      <c r="C441" s="2">
        <v>1.2784359999999999</v>
      </c>
    </row>
    <row r="442" spans="1:3">
      <c r="A442" s="1" t="s">
        <v>849</v>
      </c>
      <c r="B442" t="s">
        <v>850</v>
      </c>
      <c r="C442" s="2">
        <v>1.2417800000000001</v>
      </c>
    </row>
    <row r="443" spans="1:3">
      <c r="A443" s="1" t="s">
        <v>851</v>
      </c>
      <c r="B443" t="s">
        <v>852</v>
      </c>
      <c r="C443" s="2">
        <v>0.95307220000000004</v>
      </c>
    </row>
    <row r="444" spans="1:3">
      <c r="A444" s="1" t="s">
        <v>853</v>
      </c>
      <c r="B444" t="s">
        <v>854</v>
      </c>
      <c r="C444" s="2">
        <v>1.0390189999999999</v>
      </c>
    </row>
    <row r="445" spans="1:3">
      <c r="A445" s="1" t="s">
        <v>855</v>
      </c>
      <c r="B445" t="s">
        <v>856</v>
      </c>
      <c r="C445" s="2">
        <v>0.33418900000000001</v>
      </c>
    </row>
    <row r="446" spans="1:3">
      <c r="A446" s="1" t="s">
        <v>857</v>
      </c>
      <c r="B446" t="s">
        <v>858</v>
      </c>
      <c r="C446" s="2">
        <v>-0.50343640000000001</v>
      </c>
    </row>
    <row r="447" spans="1:3">
      <c r="A447" s="1" t="s">
        <v>859</v>
      </c>
      <c r="B447" t="s">
        <v>860</v>
      </c>
      <c r="C447" s="2">
        <v>1.348025</v>
      </c>
    </row>
    <row r="448" spans="1:3">
      <c r="A448" s="1" t="s">
        <v>861</v>
      </c>
      <c r="B448" t="s">
        <v>862</v>
      </c>
      <c r="C448" s="2">
        <v>0.70125680000000001</v>
      </c>
    </row>
    <row r="449" spans="1:3">
      <c r="A449" s="1" t="s">
        <v>863</v>
      </c>
      <c r="B449" t="s">
        <v>864</v>
      </c>
      <c r="C449" s="2">
        <v>1.025903</v>
      </c>
    </row>
    <row r="450" spans="1:3">
      <c r="A450" s="1" t="s">
        <v>865</v>
      </c>
      <c r="B450" t="s">
        <v>866</v>
      </c>
      <c r="C450" s="2">
        <v>1.9256329999999999</v>
      </c>
    </row>
    <row r="451" spans="1:3">
      <c r="A451" s="1" t="s">
        <v>867</v>
      </c>
      <c r="B451" t="s">
        <v>868</v>
      </c>
      <c r="C451" s="2">
        <v>1.511458</v>
      </c>
    </row>
    <row r="452" spans="1:3">
      <c r="A452" s="1" t="s">
        <v>869</v>
      </c>
      <c r="B452" t="s">
        <v>870</v>
      </c>
      <c r="C452" s="2">
        <v>1.134282</v>
      </c>
    </row>
    <row r="453" spans="1:3">
      <c r="A453" s="1" t="s">
        <v>871</v>
      </c>
      <c r="B453" t="s">
        <v>872</v>
      </c>
      <c r="C453" s="2">
        <v>1.244421</v>
      </c>
    </row>
    <row r="454" spans="1:3">
      <c r="A454" s="1" t="s">
        <v>873</v>
      </c>
      <c r="B454" t="s">
        <v>874</v>
      </c>
      <c r="C454" s="2">
        <v>1.4116869999999999</v>
      </c>
    </row>
    <row r="455" spans="1:3">
      <c r="A455" s="1" t="s">
        <v>875</v>
      </c>
      <c r="B455" t="s">
        <v>876</v>
      </c>
      <c r="C455" s="2">
        <v>1.270176</v>
      </c>
    </row>
    <row r="456" spans="1:3">
      <c r="A456" s="1" t="s">
        <v>877</v>
      </c>
      <c r="B456" t="s">
        <v>878</v>
      </c>
      <c r="C456" s="2">
        <v>1.135705</v>
      </c>
    </row>
    <row r="457" spans="1:3">
      <c r="A457" s="1" t="s">
        <v>879</v>
      </c>
      <c r="B457" t="s">
        <v>880</v>
      </c>
      <c r="C457" s="2">
        <v>0.81811210000000001</v>
      </c>
    </row>
    <row r="458" spans="1:3">
      <c r="A458" s="1" t="s">
        <v>881</v>
      </c>
      <c r="B458" t="s">
        <v>882</v>
      </c>
      <c r="C458" s="2">
        <v>0.49553340000000001</v>
      </c>
    </row>
    <row r="459" spans="1:3">
      <c r="A459" s="1" t="s">
        <v>883</v>
      </c>
      <c r="B459" t="s">
        <v>884</v>
      </c>
      <c r="C459" s="2">
        <v>1.1554850000000001</v>
      </c>
    </row>
    <row r="460" spans="1:3">
      <c r="A460" s="1" t="s">
        <v>885</v>
      </c>
      <c r="B460" t="s">
        <v>886</v>
      </c>
      <c r="C460" s="2">
        <v>1.589915</v>
      </c>
    </row>
    <row r="461" spans="1:3">
      <c r="A461" s="1" t="s">
        <v>887</v>
      </c>
      <c r="B461" t="s">
        <v>888</v>
      </c>
      <c r="C461" s="2">
        <v>0.43106850000000002</v>
      </c>
    </row>
    <row r="462" spans="1:3">
      <c r="A462" s="1" t="s">
        <v>889</v>
      </c>
      <c r="B462" t="s">
        <v>890</v>
      </c>
      <c r="C462" s="2">
        <v>1.026384</v>
      </c>
    </row>
    <row r="463" spans="1:3">
      <c r="A463" s="1" t="s">
        <v>891</v>
      </c>
      <c r="B463" t="s">
        <v>892</v>
      </c>
      <c r="C463" s="2">
        <v>1.1841809999999999</v>
      </c>
    </row>
    <row r="464" spans="1:3">
      <c r="A464" s="1" t="s">
        <v>893</v>
      </c>
      <c r="B464" t="s">
        <v>894</v>
      </c>
      <c r="C464" s="2">
        <v>1.3362000000000001</v>
      </c>
    </row>
    <row r="465" spans="1:3">
      <c r="A465" s="1" t="s">
        <v>895</v>
      </c>
      <c r="B465" t="s">
        <v>896</v>
      </c>
      <c r="C465" s="2">
        <v>1.54555</v>
      </c>
    </row>
    <row r="466" spans="1:3">
      <c r="A466" s="1" t="s">
        <v>897</v>
      </c>
      <c r="B466" t="s">
        <v>898</v>
      </c>
      <c r="C466" s="2">
        <v>1.0758939999999999</v>
      </c>
    </row>
    <row r="467" spans="1:3">
      <c r="A467" s="1" t="s">
        <v>899</v>
      </c>
      <c r="B467" t="s">
        <v>900</v>
      </c>
      <c r="C467" s="2">
        <v>1.4166529999999999</v>
      </c>
    </row>
    <row r="468" spans="1:3">
      <c r="A468" s="1" t="s">
        <v>901</v>
      </c>
      <c r="B468" t="s">
        <v>902</v>
      </c>
      <c r="C468" s="2">
        <v>0.24030029999999999</v>
      </c>
    </row>
    <row r="469" spans="1:3">
      <c r="A469" s="1" t="s">
        <v>903</v>
      </c>
      <c r="B469" t="s">
        <v>904</v>
      </c>
      <c r="C469" s="2">
        <v>0.71060029999999996</v>
      </c>
    </row>
    <row r="470" spans="1:3">
      <c r="A470" s="1" t="s">
        <v>905</v>
      </c>
      <c r="B470" t="s">
        <v>906</v>
      </c>
      <c r="C470" s="2">
        <v>1.44861</v>
      </c>
    </row>
    <row r="471" spans="1:3">
      <c r="A471" s="1" t="s">
        <v>907</v>
      </c>
      <c r="B471" t="s">
        <v>908</v>
      </c>
      <c r="C471" s="2">
        <v>0.27622580000000002</v>
      </c>
    </row>
    <row r="472" spans="1:3">
      <c r="A472" s="1" t="s">
        <v>909</v>
      </c>
      <c r="B472" t="s">
        <v>910</v>
      </c>
      <c r="C472" s="2">
        <v>1.274213</v>
      </c>
    </row>
    <row r="473" spans="1:3">
      <c r="A473" s="1" t="s">
        <v>911</v>
      </c>
      <c r="B473" t="s">
        <v>912</v>
      </c>
      <c r="C473" s="2">
        <v>1.200969</v>
      </c>
    </row>
    <row r="474" spans="1:3">
      <c r="A474" s="1" t="s">
        <v>913</v>
      </c>
      <c r="B474" t="s">
        <v>914</v>
      </c>
      <c r="C474" s="2">
        <v>0.76111200000000001</v>
      </c>
    </row>
    <row r="475" spans="1:3">
      <c r="A475" s="1" t="s">
        <v>915</v>
      </c>
      <c r="B475" t="s">
        <v>916</v>
      </c>
      <c r="C475" s="2">
        <v>1.4807140000000001</v>
      </c>
    </row>
    <row r="476" spans="1:3">
      <c r="A476" s="1" t="s">
        <v>917</v>
      </c>
      <c r="B476" t="s">
        <v>918</v>
      </c>
      <c r="C476" s="2">
        <v>1.032934</v>
      </c>
    </row>
    <row r="477" spans="1:3">
      <c r="A477" s="1" t="s">
        <v>919</v>
      </c>
      <c r="B477" t="s">
        <v>920</v>
      </c>
      <c r="C477" s="2">
        <v>0.42281410000000003</v>
      </c>
    </row>
    <row r="478" spans="1:3">
      <c r="A478" s="1" t="s">
        <v>921</v>
      </c>
      <c r="B478" t="s">
        <v>922</v>
      </c>
      <c r="C478" s="2">
        <v>1.254537</v>
      </c>
    </row>
    <row r="479" spans="1:3">
      <c r="A479" s="1" t="s">
        <v>923</v>
      </c>
      <c r="B479" t="s">
        <v>924</v>
      </c>
      <c r="C479" s="2">
        <v>-0.92240999999999995</v>
      </c>
    </row>
    <row r="480" spans="1:3">
      <c r="A480" s="1" t="s">
        <v>925</v>
      </c>
      <c r="B480" t="s">
        <v>926</v>
      </c>
      <c r="C480" s="2">
        <v>0.77439530000000001</v>
      </c>
    </row>
    <row r="481" spans="1:3">
      <c r="A481" s="1" t="s">
        <v>927</v>
      </c>
      <c r="B481" t="s">
        <v>928</v>
      </c>
      <c r="C481" s="2">
        <v>1.128045</v>
      </c>
    </row>
    <row r="482" spans="1:3">
      <c r="A482" s="1" t="s">
        <v>929</v>
      </c>
      <c r="B482" t="s">
        <v>930</v>
      </c>
      <c r="C482" s="2">
        <v>-1.0270049999999999</v>
      </c>
    </row>
    <row r="483" spans="1:3">
      <c r="A483" s="1" t="s">
        <v>931</v>
      </c>
      <c r="B483" t="s">
        <v>932</v>
      </c>
      <c r="C483" s="2">
        <v>-0.28352300000000003</v>
      </c>
    </row>
    <row r="484" spans="1:3">
      <c r="A484" s="1" t="s">
        <v>933</v>
      </c>
      <c r="B484" t="s">
        <v>934</v>
      </c>
      <c r="C484" s="2">
        <v>-0.96721729999999995</v>
      </c>
    </row>
    <row r="485" spans="1:3">
      <c r="A485" s="1" t="s">
        <v>935</v>
      </c>
      <c r="B485" t="s">
        <v>936</v>
      </c>
      <c r="C485" s="2">
        <v>-1.0072479999999999</v>
      </c>
    </row>
    <row r="486" spans="1:3">
      <c r="A486" s="1" t="s">
        <v>937</v>
      </c>
      <c r="B486" t="s">
        <v>938</v>
      </c>
      <c r="C486" s="2">
        <v>0.66142210000000001</v>
      </c>
    </row>
    <row r="487" spans="1:3">
      <c r="A487" s="1" t="s">
        <v>939</v>
      </c>
      <c r="B487" t="s">
        <v>940</v>
      </c>
      <c r="C487" s="2">
        <v>-0.73751540000000004</v>
      </c>
    </row>
    <row r="488" spans="1:3">
      <c r="A488" s="1" t="s">
        <v>941</v>
      </c>
      <c r="B488" t="s">
        <v>942</v>
      </c>
      <c r="C488" s="2">
        <v>-0.52323330000000001</v>
      </c>
    </row>
    <row r="489" spans="1:3">
      <c r="A489" s="1" t="s">
        <v>943</v>
      </c>
      <c r="B489" t="s">
        <v>944</v>
      </c>
      <c r="C489" s="2">
        <v>-0.3528867</v>
      </c>
    </row>
    <row r="490" spans="1:3">
      <c r="A490" s="1" t="s">
        <v>945</v>
      </c>
      <c r="B490" t="s">
        <v>946</v>
      </c>
      <c r="C490" s="2">
        <v>1.1060179999999999</v>
      </c>
    </row>
    <row r="491" spans="1:3">
      <c r="A491" s="1" t="s">
        <v>947</v>
      </c>
      <c r="B491" t="s">
        <v>948</v>
      </c>
      <c r="C491" s="2">
        <v>1.149438</v>
      </c>
    </row>
    <row r="492" spans="1:3">
      <c r="A492" s="1" t="s">
        <v>949</v>
      </c>
      <c r="B492" t="s">
        <v>950</v>
      </c>
      <c r="C492" s="2">
        <v>1.2978000000000001</v>
      </c>
    </row>
    <row r="493" spans="1:3">
      <c r="A493" s="1" t="s">
        <v>951</v>
      </c>
      <c r="B493" t="s">
        <v>952</v>
      </c>
      <c r="C493" s="2">
        <v>1.254248</v>
      </c>
    </row>
    <row r="494" spans="1:3">
      <c r="A494" s="1" t="s">
        <v>953</v>
      </c>
      <c r="B494" t="s">
        <v>954</v>
      </c>
      <c r="C494" s="2">
        <v>0.40789779999999998</v>
      </c>
    </row>
    <row r="495" spans="1:3">
      <c r="A495" s="1" t="s">
        <v>955</v>
      </c>
      <c r="B495" t="s">
        <v>956</v>
      </c>
      <c r="C495" s="2">
        <v>0.1723307</v>
      </c>
    </row>
    <row r="496" spans="1:3">
      <c r="A496" s="1" t="s">
        <v>957</v>
      </c>
      <c r="B496" t="s">
        <v>958</v>
      </c>
      <c r="C496" s="2">
        <v>0.50723810000000003</v>
      </c>
    </row>
    <row r="497" spans="1:3">
      <c r="A497" s="1" t="s">
        <v>959</v>
      </c>
      <c r="B497" t="s">
        <v>960</v>
      </c>
      <c r="C497" s="2">
        <v>-6.5045500000000006E-2</v>
      </c>
    </row>
    <row r="498" spans="1:3">
      <c r="A498" s="1" t="s">
        <v>961</v>
      </c>
      <c r="B498" t="s">
        <v>962</v>
      </c>
      <c r="C498" s="2">
        <v>1.257163</v>
      </c>
    </row>
    <row r="499" spans="1:3">
      <c r="A499" s="1" t="s">
        <v>963</v>
      </c>
      <c r="B499" t="s">
        <v>964</v>
      </c>
      <c r="C499" s="2">
        <v>-0.71094659999999998</v>
      </c>
    </row>
    <row r="500" spans="1:3">
      <c r="A500" s="1" t="s">
        <v>965</v>
      </c>
      <c r="B500" t="s">
        <v>966</v>
      </c>
      <c r="C500" s="2">
        <v>0.91085389999999999</v>
      </c>
    </row>
    <row r="501" spans="1:3">
      <c r="A501" s="1" t="s">
        <v>967</v>
      </c>
      <c r="B501" t="s">
        <v>968</v>
      </c>
      <c r="C501" s="2">
        <v>-0.57735760000000003</v>
      </c>
    </row>
    <row r="502" spans="1:3">
      <c r="A502" s="1" t="s">
        <v>969</v>
      </c>
      <c r="B502" t="s">
        <v>970</v>
      </c>
      <c r="C502" s="2">
        <v>1.4361930000000001</v>
      </c>
    </row>
    <row r="503" spans="1:3">
      <c r="A503" s="1" t="s">
        <v>971</v>
      </c>
      <c r="B503" t="s">
        <v>972</v>
      </c>
      <c r="C503" s="2">
        <v>1.0529580000000001</v>
      </c>
    </row>
    <row r="504" spans="1:3">
      <c r="A504" s="1" t="s">
        <v>973</v>
      </c>
      <c r="B504" t="s">
        <v>974</v>
      </c>
      <c r="C504" s="2">
        <v>-0.55759550000000002</v>
      </c>
    </row>
    <row r="505" spans="1:3">
      <c r="A505" s="1" t="s">
        <v>975</v>
      </c>
      <c r="B505" t="s">
        <v>976</v>
      </c>
      <c r="C505" s="2">
        <v>-8.1121000000000006E-3</v>
      </c>
    </row>
    <row r="506" spans="1:3">
      <c r="A506" s="1" t="s">
        <v>977</v>
      </c>
      <c r="B506" t="s">
        <v>978</v>
      </c>
      <c r="C506" s="2">
        <v>-0.94111080000000003</v>
      </c>
    </row>
    <row r="507" spans="1:3">
      <c r="A507" s="1" t="s">
        <v>979</v>
      </c>
      <c r="B507" t="s">
        <v>980</v>
      </c>
      <c r="C507" s="2">
        <v>-1.0323800000000001</v>
      </c>
    </row>
    <row r="508" spans="1:3">
      <c r="A508" s="1" t="s">
        <v>981</v>
      </c>
      <c r="B508" t="s">
        <v>982</v>
      </c>
      <c r="C508" s="2">
        <v>-1.2399690000000001</v>
      </c>
    </row>
    <row r="509" spans="1:3">
      <c r="A509" s="1" t="s">
        <v>983</v>
      </c>
      <c r="B509" t="s">
        <v>984</v>
      </c>
      <c r="C509" s="2">
        <v>-1.43235</v>
      </c>
    </row>
    <row r="510" spans="1:3">
      <c r="A510" s="1" t="s">
        <v>985</v>
      </c>
      <c r="B510" t="s">
        <v>986</v>
      </c>
      <c r="C510" s="2">
        <v>-1.0889770000000001</v>
      </c>
    </row>
    <row r="511" spans="1:3">
      <c r="A511" s="1" t="s">
        <v>987</v>
      </c>
      <c r="B511" t="s">
        <v>988</v>
      </c>
      <c r="C511" s="2">
        <v>-1.5114700000000001</v>
      </c>
    </row>
    <row r="512" spans="1:3">
      <c r="A512" s="1" t="s">
        <v>989</v>
      </c>
      <c r="B512" t="s">
        <v>990</v>
      </c>
      <c r="C512" s="2">
        <v>-1.374077</v>
      </c>
    </row>
    <row r="513" spans="1:3">
      <c r="A513" s="1" t="s">
        <v>991</v>
      </c>
      <c r="B513" t="s">
        <v>992</v>
      </c>
      <c r="C513" s="2">
        <v>-0.99995210000000001</v>
      </c>
    </row>
    <row r="514" spans="1:3">
      <c r="A514" s="1" t="s">
        <v>993</v>
      </c>
      <c r="B514" t="s">
        <v>994</v>
      </c>
      <c r="C514" s="2">
        <v>-1.7914239999999999</v>
      </c>
    </row>
    <row r="515" spans="1:3">
      <c r="A515" s="1" t="s">
        <v>995</v>
      </c>
      <c r="B515" t="s">
        <v>996</v>
      </c>
      <c r="C515" s="2">
        <v>-1.3552169999999999</v>
      </c>
    </row>
    <row r="516" spans="1:3">
      <c r="A516" s="1" t="s">
        <v>997</v>
      </c>
      <c r="B516" t="s">
        <v>998</v>
      </c>
      <c r="C516" s="2">
        <v>-0.70297770000000004</v>
      </c>
    </row>
    <row r="517" spans="1:3">
      <c r="A517" s="1" t="s">
        <v>999</v>
      </c>
      <c r="B517" t="s">
        <v>1000</v>
      </c>
      <c r="C517" s="2">
        <v>-0.35987370000000002</v>
      </c>
    </row>
    <row r="518" spans="1:3">
      <c r="A518" s="1" t="s">
        <v>1001</v>
      </c>
      <c r="B518" t="s">
        <v>1002</v>
      </c>
      <c r="C518" s="2">
        <v>-1.1215839999999999</v>
      </c>
    </row>
    <row r="519" spans="1:3">
      <c r="A519" s="1" t="s">
        <v>1003</v>
      </c>
      <c r="B519" t="s">
        <v>1004</v>
      </c>
      <c r="C519" s="2">
        <v>-1.606938</v>
      </c>
    </row>
    <row r="520" spans="1:3">
      <c r="A520" s="1" t="s">
        <v>1005</v>
      </c>
      <c r="B520" t="s">
        <v>1006</v>
      </c>
      <c r="C520" s="2">
        <v>-1.4831190000000001</v>
      </c>
    </row>
    <row r="521" spans="1:3">
      <c r="A521" s="1" t="s">
        <v>1007</v>
      </c>
      <c r="B521" t="s">
        <v>1008</v>
      </c>
      <c r="C521" s="2">
        <v>-1.2452529999999999</v>
      </c>
    </row>
    <row r="522" spans="1:3">
      <c r="A522" s="1" t="s">
        <v>1009</v>
      </c>
      <c r="B522" t="s">
        <v>1010</v>
      </c>
      <c r="C522" s="2">
        <v>-1.414355</v>
      </c>
    </row>
    <row r="523" spans="1:3">
      <c r="A523" s="1" t="s">
        <v>1011</v>
      </c>
      <c r="B523" t="s">
        <v>1012</v>
      </c>
      <c r="C523" s="2">
        <v>-1.049115</v>
      </c>
    </row>
    <row r="524" spans="1:3">
      <c r="A524" s="1" t="s">
        <v>1013</v>
      </c>
      <c r="B524" t="s">
        <v>1014</v>
      </c>
      <c r="C524" s="2">
        <v>-1.5743579999999999</v>
      </c>
    </row>
    <row r="525" spans="1:3">
      <c r="A525" s="1" t="s">
        <v>1015</v>
      </c>
      <c r="B525" t="s">
        <v>1016</v>
      </c>
      <c r="C525" s="2">
        <v>-1.1962710000000001</v>
      </c>
    </row>
    <row r="526" spans="1:3">
      <c r="A526" s="1" t="s">
        <v>1017</v>
      </c>
      <c r="B526" t="s">
        <v>1018</v>
      </c>
      <c r="C526" s="2">
        <v>-1.677608</v>
      </c>
    </row>
    <row r="527" spans="1:3">
      <c r="A527" s="1" t="s">
        <v>1019</v>
      </c>
      <c r="B527" t="s">
        <v>1020</v>
      </c>
      <c r="C527" s="2">
        <v>-1.6849620000000001</v>
      </c>
    </row>
    <row r="528" spans="1:3">
      <c r="A528" s="1" t="s">
        <v>1021</v>
      </c>
      <c r="B528" t="s">
        <v>1022</v>
      </c>
      <c r="C528" s="2">
        <v>-1.404981</v>
      </c>
    </row>
    <row r="529" spans="1:3">
      <c r="A529" s="1" t="s">
        <v>1023</v>
      </c>
      <c r="B529" t="s">
        <v>1024</v>
      </c>
      <c r="C529" s="2">
        <v>-1.303123</v>
      </c>
    </row>
    <row r="530" spans="1:3">
      <c r="A530" s="1" t="s">
        <v>1025</v>
      </c>
      <c r="B530" t="s">
        <v>1026</v>
      </c>
      <c r="C530" s="2">
        <v>-1.4548920000000001</v>
      </c>
    </row>
    <row r="531" spans="1:3">
      <c r="A531" s="1" t="s">
        <v>1027</v>
      </c>
      <c r="B531" t="s">
        <v>1028</v>
      </c>
      <c r="C531" s="2">
        <v>-1.173767</v>
      </c>
    </row>
    <row r="532" spans="1:3">
      <c r="A532" s="1" t="s">
        <v>1029</v>
      </c>
      <c r="B532" t="s">
        <v>1030</v>
      </c>
      <c r="C532" s="2">
        <v>-1.496086</v>
      </c>
    </row>
    <row r="533" spans="1:3">
      <c r="A533" s="1" t="s">
        <v>1031</v>
      </c>
      <c r="B533" t="s">
        <v>1032</v>
      </c>
      <c r="C533" s="2">
        <v>-1.344603</v>
      </c>
    </row>
    <row r="534" spans="1:3">
      <c r="A534" s="1" t="s">
        <v>1033</v>
      </c>
      <c r="B534" t="s">
        <v>1034</v>
      </c>
      <c r="C534" s="2">
        <v>-0.9164291</v>
      </c>
    </row>
    <row r="535" spans="1:3">
      <c r="A535" s="1" t="s">
        <v>1035</v>
      </c>
      <c r="B535" t="s">
        <v>1036</v>
      </c>
      <c r="C535" s="2">
        <v>-1.2670380000000001</v>
      </c>
    </row>
    <row r="536" spans="1:3">
      <c r="A536" s="1" t="s">
        <v>1037</v>
      </c>
      <c r="B536" t="s">
        <v>1038</v>
      </c>
      <c r="C536" s="2">
        <v>-1.509682</v>
      </c>
    </row>
    <row r="537" spans="1:3">
      <c r="A537" s="1" t="s">
        <v>1039</v>
      </c>
      <c r="B537" t="s">
        <v>1040</v>
      </c>
      <c r="C537" s="2">
        <v>-1.0798840000000001</v>
      </c>
    </row>
    <row r="538" spans="1:3">
      <c r="A538" s="1" t="s">
        <v>1041</v>
      </c>
      <c r="B538" t="s">
        <v>1042</v>
      </c>
      <c r="C538" s="2">
        <v>-1.380682</v>
      </c>
    </row>
    <row r="539" spans="1:3">
      <c r="A539" s="1" t="s">
        <v>1043</v>
      </c>
      <c r="B539" t="s">
        <v>1044</v>
      </c>
      <c r="C539" s="2">
        <v>-1.5657799999999999</v>
      </c>
    </row>
    <row r="540" spans="1:3">
      <c r="A540" s="1" t="s">
        <v>1045</v>
      </c>
      <c r="B540" t="s">
        <v>1046</v>
      </c>
      <c r="C540" s="2">
        <v>-1.18099</v>
      </c>
    </row>
    <row r="541" spans="1:3">
      <c r="A541" s="1" t="s">
        <v>1047</v>
      </c>
      <c r="B541" t="s">
        <v>1048</v>
      </c>
      <c r="C541" s="2">
        <v>-1.1196140000000001</v>
      </c>
    </row>
    <row r="542" spans="1:3">
      <c r="A542" s="1" t="s">
        <v>1049</v>
      </c>
      <c r="B542" t="s">
        <v>1050</v>
      </c>
      <c r="C542" s="2">
        <v>-1.5779069999999999</v>
      </c>
    </row>
    <row r="543" spans="1:3">
      <c r="A543" s="1" t="s">
        <v>1051</v>
      </c>
      <c r="B543" t="s">
        <v>1052</v>
      </c>
      <c r="C543" s="2">
        <v>-1.781242</v>
      </c>
    </row>
    <row r="544" spans="1:3">
      <c r="A544" s="1" t="s">
        <v>1053</v>
      </c>
      <c r="B544" t="s">
        <v>1054</v>
      </c>
      <c r="C544" s="2">
        <v>-1.553439</v>
      </c>
    </row>
    <row r="545" spans="1:3">
      <c r="A545" s="1" t="s">
        <v>1055</v>
      </c>
      <c r="B545" t="s">
        <v>1056</v>
      </c>
      <c r="C545" s="2">
        <v>-1.2447109999999999</v>
      </c>
    </row>
    <row r="546" spans="1:3">
      <c r="A546" s="1" t="s">
        <v>1057</v>
      </c>
      <c r="B546" t="s">
        <v>1058</v>
      </c>
      <c r="C546" s="2">
        <v>-1.7009570000000001</v>
      </c>
    </row>
    <row r="547" spans="1:3">
      <c r="A547" s="1" t="s">
        <v>1059</v>
      </c>
      <c r="B547" t="s">
        <v>1060</v>
      </c>
      <c r="C547" s="2">
        <v>-1.0369820000000001</v>
      </c>
    </row>
    <row r="548" spans="1:3">
      <c r="A548" s="1" t="s">
        <v>1061</v>
      </c>
      <c r="B548" t="s">
        <v>1062</v>
      </c>
      <c r="C548" s="2">
        <v>-1.82175</v>
      </c>
    </row>
    <row r="549" spans="1:3">
      <c r="A549" s="1" t="s">
        <v>1063</v>
      </c>
      <c r="B549" t="s">
        <v>1064</v>
      </c>
      <c r="C549" s="2">
        <v>-1.3701650000000001</v>
      </c>
    </row>
    <row r="550" spans="1:3">
      <c r="A550" s="1" t="s">
        <v>1065</v>
      </c>
      <c r="B550" t="s">
        <v>1066</v>
      </c>
      <c r="C550" s="2">
        <v>-1.4450989999999999</v>
      </c>
    </row>
    <row r="551" spans="1:3">
      <c r="A551" s="1" t="s">
        <v>1067</v>
      </c>
      <c r="B551" t="s">
        <v>1068</v>
      </c>
      <c r="C551" s="2">
        <v>-1.71112</v>
      </c>
    </row>
    <row r="552" spans="1:3">
      <c r="A552" s="1" t="s">
        <v>1069</v>
      </c>
      <c r="B552" t="s">
        <v>1070</v>
      </c>
      <c r="C552" s="2">
        <v>-1.461957</v>
      </c>
    </row>
    <row r="553" spans="1:3">
      <c r="A553" s="1" t="s">
        <v>1071</v>
      </c>
      <c r="B553" t="s">
        <v>1072</v>
      </c>
      <c r="C553" s="2">
        <v>-1.6678809999999999</v>
      </c>
    </row>
    <row r="554" spans="1:3">
      <c r="A554" s="1" t="s">
        <v>1073</v>
      </c>
      <c r="B554" t="s">
        <v>1074</v>
      </c>
      <c r="C554" s="2">
        <v>6.76731E-2</v>
      </c>
    </row>
    <row r="555" spans="1:3">
      <c r="A555" s="1" t="s">
        <v>1075</v>
      </c>
      <c r="B555" t="s">
        <v>1076</v>
      </c>
      <c r="C555" s="2">
        <v>-0.92785260000000003</v>
      </c>
    </row>
    <row r="556" spans="1:3">
      <c r="A556" s="1" t="s">
        <v>1077</v>
      </c>
      <c r="B556" t="s">
        <v>1078</v>
      </c>
      <c r="C556" s="2">
        <v>-1.6752880000000001</v>
      </c>
    </row>
    <row r="557" spans="1:3">
      <c r="A557" s="1" t="s">
        <v>1079</v>
      </c>
      <c r="B557" t="s">
        <v>1080</v>
      </c>
      <c r="C557" s="2">
        <v>-0.74412020000000001</v>
      </c>
    </row>
    <row r="558" spans="1:3">
      <c r="A558" s="1" t="s">
        <v>1081</v>
      </c>
      <c r="B558" t="s">
        <v>1082</v>
      </c>
      <c r="C558" s="2">
        <v>-1.2815719999999999</v>
      </c>
    </row>
    <row r="559" spans="1:3">
      <c r="A559" s="1" t="s">
        <v>1083</v>
      </c>
      <c r="B559" t="s">
        <v>1084</v>
      </c>
      <c r="C559" s="2">
        <v>-1.4968250000000001</v>
      </c>
    </row>
    <row r="560" spans="1:3">
      <c r="A560" s="1" t="s">
        <v>1085</v>
      </c>
      <c r="B560" t="s">
        <v>1086</v>
      </c>
      <c r="C560" s="2">
        <v>-1.2604089999999999</v>
      </c>
    </row>
    <row r="561" spans="1:3">
      <c r="A561" s="1" t="s">
        <v>1087</v>
      </c>
      <c r="B561" t="s">
        <v>1088</v>
      </c>
      <c r="C561" s="2">
        <v>-0.94941810000000004</v>
      </c>
    </row>
    <row r="562" spans="1:3">
      <c r="A562" s="1" t="s">
        <v>1089</v>
      </c>
      <c r="B562" t="s">
        <v>1090</v>
      </c>
      <c r="C562" s="2">
        <v>-0.87111209999999994</v>
      </c>
    </row>
    <row r="563" spans="1:3">
      <c r="A563" s="1" t="s">
        <v>1091</v>
      </c>
      <c r="B563" t="s">
        <v>1092</v>
      </c>
      <c r="C563" s="2">
        <v>-1.390568</v>
      </c>
    </row>
    <row r="564" spans="1:3">
      <c r="A564" s="1" t="s">
        <v>1093</v>
      </c>
      <c r="B564" t="s">
        <v>1094</v>
      </c>
      <c r="C564" s="2">
        <v>-0.88039219999999996</v>
      </c>
    </row>
    <row r="565" spans="1:3">
      <c r="A565" s="1" t="s">
        <v>1095</v>
      </c>
      <c r="B565" t="s">
        <v>1096</v>
      </c>
      <c r="C565" s="2">
        <v>-1.068201</v>
      </c>
    </row>
    <row r="566" spans="1:3">
      <c r="A566" s="1" t="s">
        <v>1097</v>
      </c>
      <c r="B566" t="s">
        <v>1098</v>
      </c>
      <c r="C566" s="2">
        <v>-0.99934420000000002</v>
      </c>
    </row>
    <row r="567" spans="1:3">
      <c r="A567" s="1" t="s">
        <v>1099</v>
      </c>
      <c r="B567" t="s">
        <v>1100</v>
      </c>
      <c r="C567" s="2">
        <v>-0.95473960000000002</v>
      </c>
    </row>
    <row r="568" spans="1:3">
      <c r="A568" s="1" t="s">
        <v>1101</v>
      </c>
      <c r="B568" t="s">
        <v>1102</v>
      </c>
      <c r="C568" s="2">
        <v>-1.355229</v>
      </c>
    </row>
    <row r="569" spans="1:3">
      <c r="A569" s="1" t="s">
        <v>1103</v>
      </c>
      <c r="B569" t="s">
        <v>1104</v>
      </c>
      <c r="C569" s="2">
        <v>-1.282551</v>
      </c>
    </row>
    <row r="570" spans="1:3">
      <c r="A570" s="1" t="s">
        <v>1105</v>
      </c>
      <c r="B570" t="s">
        <v>1106</v>
      </c>
      <c r="C570" s="2">
        <v>-1.6142620000000001</v>
      </c>
    </row>
    <row r="571" spans="1:3">
      <c r="A571" s="1" t="s">
        <v>1107</v>
      </c>
      <c r="B571" t="s">
        <v>1108</v>
      </c>
      <c r="C571" s="2">
        <v>-1.592865</v>
      </c>
    </row>
    <row r="572" spans="1:3">
      <c r="A572" s="1" t="s">
        <v>1109</v>
      </c>
      <c r="B572" t="s">
        <v>1110</v>
      </c>
      <c r="C572" s="2">
        <v>-1.5003059999999999</v>
      </c>
    </row>
    <row r="573" spans="1:3">
      <c r="A573" s="1" t="s">
        <v>1111</v>
      </c>
      <c r="B573" t="s">
        <v>1112</v>
      </c>
      <c r="C573" s="2">
        <v>-1.5723389999999999</v>
      </c>
    </row>
    <row r="574" spans="1:3">
      <c r="A574" s="1" t="s">
        <v>1113</v>
      </c>
      <c r="B574" t="s">
        <v>1114</v>
      </c>
      <c r="C574" s="2">
        <v>-0.114278</v>
      </c>
    </row>
    <row r="575" spans="1:3">
      <c r="A575" s="1" t="s">
        <v>1115</v>
      </c>
      <c r="B575" t="s">
        <v>1116</v>
      </c>
      <c r="C575" s="2">
        <v>-0.45409739999999998</v>
      </c>
    </row>
    <row r="576" spans="1:3">
      <c r="A576" s="1" t="s">
        <v>1117</v>
      </c>
      <c r="B576" t="s">
        <v>1118</v>
      </c>
      <c r="C576" s="2">
        <v>-0.74325810000000003</v>
      </c>
    </row>
    <row r="577" spans="1:3">
      <c r="A577" s="1" t="s">
        <v>1119</v>
      </c>
      <c r="B577" t="s">
        <v>1120</v>
      </c>
      <c r="C577" s="2">
        <v>-0.93856919999999999</v>
      </c>
    </row>
    <row r="578" spans="1:3">
      <c r="A578" s="1" t="s">
        <v>1121</v>
      </c>
      <c r="B578" t="s">
        <v>1122</v>
      </c>
      <c r="C578" s="2">
        <v>-0.26355129999999999</v>
      </c>
    </row>
    <row r="579" spans="1:3">
      <c r="A579" s="1" t="s">
        <v>1123</v>
      </c>
      <c r="B579" t="s">
        <v>1124</v>
      </c>
      <c r="C579" s="2">
        <v>-0.98004029999999998</v>
      </c>
    </row>
    <row r="580" spans="1:3">
      <c r="A580" s="1" t="s">
        <v>1125</v>
      </c>
      <c r="B580" t="s">
        <v>1126</v>
      </c>
      <c r="C580" s="2">
        <v>-0.91010500000000005</v>
      </c>
    </row>
    <row r="581" spans="1:3">
      <c r="A581" s="1" t="s">
        <v>1127</v>
      </c>
      <c r="B581" t="s">
        <v>1128</v>
      </c>
      <c r="C581" s="2">
        <v>-0.70284550000000001</v>
      </c>
    </row>
    <row r="582" spans="1:3">
      <c r="A582" s="1" t="s">
        <v>1129</v>
      </c>
      <c r="B582" t="s">
        <v>1130</v>
      </c>
      <c r="C582" s="2">
        <v>-0.67202830000000002</v>
      </c>
    </row>
    <row r="583" spans="1:3">
      <c r="A583" s="1" t="s">
        <v>1131</v>
      </c>
      <c r="B583" t="s">
        <v>1132</v>
      </c>
      <c r="C583" s="2">
        <v>-0.86957810000000002</v>
      </c>
    </row>
    <row r="584" spans="1:3">
      <c r="A584" s="1" t="s">
        <v>1133</v>
      </c>
      <c r="B584" t="s">
        <v>1134</v>
      </c>
      <c r="C584" s="2">
        <v>-0.73035360000000005</v>
      </c>
    </row>
    <row r="585" spans="1:3">
      <c r="A585" s="1" t="s">
        <v>1135</v>
      </c>
      <c r="B585" t="s">
        <v>1136</v>
      </c>
      <c r="C585" s="2">
        <v>-0.68488760000000004</v>
      </c>
    </row>
    <row r="586" spans="1:3">
      <c r="A586" s="1" t="s">
        <v>1137</v>
      </c>
      <c r="B586" t="s">
        <v>1138</v>
      </c>
      <c r="C586" s="2">
        <v>-0.81445179999999995</v>
      </c>
    </row>
    <row r="587" spans="1:3">
      <c r="A587" s="1" t="s">
        <v>1139</v>
      </c>
      <c r="B587" t="s">
        <v>1140</v>
      </c>
      <c r="C587" s="2">
        <v>-1.199119</v>
      </c>
    </row>
    <row r="588" spans="1:3">
      <c r="A588" s="1" t="s">
        <v>1141</v>
      </c>
      <c r="B588" t="s">
        <v>1142</v>
      </c>
      <c r="C588" s="2">
        <v>-1.2348980000000001</v>
      </c>
    </row>
    <row r="589" spans="1:3">
      <c r="A589" s="1" t="s">
        <v>1143</v>
      </c>
      <c r="B589" t="s">
        <v>1144</v>
      </c>
      <c r="C589" s="2">
        <v>-1.0311440000000001</v>
      </c>
    </row>
    <row r="590" spans="1:3">
      <c r="A590" s="1" t="s">
        <v>1145</v>
      </c>
      <c r="B590" t="s">
        <v>1146</v>
      </c>
      <c r="C590" s="2">
        <v>-1.058387</v>
      </c>
    </row>
    <row r="591" spans="1:3">
      <c r="A591" s="1" t="s">
        <v>1147</v>
      </c>
      <c r="B591" t="s">
        <v>1148</v>
      </c>
      <c r="C591" s="2">
        <v>-1.2386459999999999</v>
      </c>
    </row>
    <row r="592" spans="1:3">
      <c r="A592" s="1" t="s">
        <v>1149</v>
      </c>
      <c r="B592" t="s">
        <v>1150</v>
      </c>
      <c r="C592" s="2">
        <v>-1.258737</v>
      </c>
    </row>
    <row r="593" spans="1:3">
      <c r="A593" s="1" t="s">
        <v>1151</v>
      </c>
      <c r="B593" t="s">
        <v>1152</v>
      </c>
      <c r="C593" s="2">
        <v>-1.48498</v>
      </c>
    </row>
    <row r="594" spans="1:3">
      <c r="A594" s="1" t="s">
        <v>1153</v>
      </c>
      <c r="B594" t="s">
        <v>1154</v>
      </c>
      <c r="C594" s="2">
        <v>-0.93784429999999996</v>
      </c>
    </row>
    <row r="595" spans="1:3">
      <c r="A595" s="1" t="s">
        <v>1155</v>
      </c>
      <c r="B595" t="s">
        <v>1156</v>
      </c>
      <c r="C595" s="2">
        <v>-0.6656164</v>
      </c>
    </row>
    <row r="596" spans="1:3">
      <c r="A596" s="1" t="s">
        <v>1157</v>
      </c>
      <c r="B596" t="s">
        <v>1158</v>
      </c>
      <c r="C596" s="2">
        <v>-0.96148639999999996</v>
      </c>
    </row>
    <row r="597" spans="1:3">
      <c r="A597" s="1" t="s">
        <v>1159</v>
      </c>
      <c r="B597" t="s">
        <v>1160</v>
      </c>
      <c r="C597" s="2">
        <v>-0.82260860000000002</v>
      </c>
    </row>
    <row r="598" spans="1:3">
      <c r="A598" s="1" t="s">
        <v>1161</v>
      </c>
      <c r="B598" t="s">
        <v>1162</v>
      </c>
      <c r="C598" s="2">
        <v>-0.86948820000000004</v>
      </c>
    </row>
    <row r="599" spans="1:3">
      <c r="A599" s="1" t="s">
        <v>1163</v>
      </c>
      <c r="B599" t="s">
        <v>1164</v>
      </c>
      <c r="C599" s="2">
        <v>-1.422963</v>
      </c>
    </row>
    <row r="600" spans="1:3">
      <c r="A600" s="1" t="s">
        <v>1165</v>
      </c>
      <c r="B600" t="s">
        <v>1166</v>
      </c>
      <c r="C600" s="2">
        <v>-1.281903</v>
      </c>
    </row>
    <row r="601" spans="1:3">
      <c r="A601" s="1" t="s">
        <v>1167</v>
      </c>
      <c r="B601" t="s">
        <v>1168</v>
      </c>
      <c r="C601" s="2">
        <v>-0.7805839</v>
      </c>
    </row>
    <row r="602" spans="1:3">
      <c r="A602" s="1" t="s">
        <v>1169</v>
      </c>
      <c r="B602" t="s">
        <v>1170</v>
      </c>
      <c r="C602" s="2">
        <v>-0.89605919999999994</v>
      </c>
    </row>
    <row r="603" spans="1:3">
      <c r="A603" s="1" t="s">
        <v>1171</v>
      </c>
      <c r="B603" t="s">
        <v>1172</v>
      </c>
      <c r="C603" s="2">
        <v>-0.92816659999999995</v>
      </c>
    </row>
    <row r="604" spans="1:3">
      <c r="A604" s="1" t="s">
        <v>1173</v>
      </c>
      <c r="B604" t="s">
        <v>1174</v>
      </c>
      <c r="C604" s="2">
        <v>-1.2170209999999999</v>
      </c>
    </row>
    <row r="605" spans="1:3">
      <c r="A605" s="1" t="s">
        <v>1175</v>
      </c>
      <c r="B605" t="s">
        <v>1176</v>
      </c>
      <c r="C605" s="2">
        <v>-1.0151950000000001</v>
      </c>
    </row>
    <row r="606" spans="1:3">
      <c r="A606" s="1" t="s">
        <v>1177</v>
      </c>
      <c r="B606" t="s">
        <v>1178</v>
      </c>
      <c r="C606" s="2">
        <v>-1.283911</v>
      </c>
    </row>
    <row r="607" spans="1:3">
      <c r="A607" s="1" t="s">
        <v>1179</v>
      </c>
      <c r="B607" t="s">
        <v>1180</v>
      </c>
      <c r="C607" s="2">
        <v>-1.208758</v>
      </c>
    </row>
    <row r="608" spans="1:3">
      <c r="A608" s="1" t="s">
        <v>1181</v>
      </c>
      <c r="B608" t="s">
        <v>1182</v>
      </c>
      <c r="C608" s="2">
        <v>-1.118984</v>
      </c>
    </row>
    <row r="609" spans="1:3">
      <c r="A609" s="1" t="s">
        <v>1183</v>
      </c>
      <c r="B609" t="s">
        <v>1184</v>
      </c>
      <c r="C609" s="2">
        <v>-1.0541430000000001</v>
      </c>
    </row>
    <row r="610" spans="1:3">
      <c r="A610" s="1" t="s">
        <v>1185</v>
      </c>
      <c r="B610" t="s">
        <v>1186</v>
      </c>
      <c r="C610" s="2">
        <v>-0.35976999999999998</v>
      </c>
    </row>
    <row r="611" spans="1:3">
      <c r="A611" s="1" t="s">
        <v>1187</v>
      </c>
      <c r="B611" t="s">
        <v>1188</v>
      </c>
      <c r="C611" s="2">
        <v>-0.53677569999999997</v>
      </c>
    </row>
    <row r="612" spans="1:3">
      <c r="A612" s="1" t="s">
        <v>1189</v>
      </c>
      <c r="B612" t="s">
        <v>1190</v>
      </c>
      <c r="C612" s="2">
        <v>-0.58430919999999997</v>
      </c>
    </row>
    <row r="613" spans="1:3">
      <c r="A613" s="1" t="s">
        <v>1191</v>
      </c>
      <c r="B613" t="s">
        <v>1192</v>
      </c>
      <c r="C613" s="2">
        <v>-0.61929109999999998</v>
      </c>
    </row>
    <row r="614" spans="1:3">
      <c r="A614" s="1" t="s">
        <v>1193</v>
      </c>
      <c r="B614" t="s">
        <v>1194</v>
      </c>
      <c r="C614" s="2">
        <v>-1.06955</v>
      </c>
    </row>
    <row r="615" spans="1:3">
      <c r="A615" s="1" t="s">
        <v>1195</v>
      </c>
      <c r="B615" t="s">
        <v>1196</v>
      </c>
      <c r="C615" s="2">
        <v>-0.98382559999999997</v>
      </c>
    </row>
    <row r="616" spans="1:3">
      <c r="A616" s="1" t="s">
        <v>1197</v>
      </c>
      <c r="B616" t="s">
        <v>1198</v>
      </c>
      <c r="C616" s="2">
        <v>-0.85150250000000005</v>
      </c>
    </row>
    <row r="617" spans="1:3">
      <c r="A617" s="1" t="s">
        <v>1199</v>
      </c>
      <c r="B617" t="s">
        <v>1200</v>
      </c>
      <c r="C617" s="2">
        <v>-1.0821400000000001</v>
      </c>
    </row>
    <row r="618" spans="1:3">
      <c r="A618" s="1" t="s">
        <v>1201</v>
      </c>
      <c r="B618" t="s">
        <v>1202</v>
      </c>
      <c r="C618" s="2">
        <v>-1.4643550000000001</v>
      </c>
    </row>
    <row r="619" spans="1:3">
      <c r="A619" s="1" t="s">
        <v>1203</v>
      </c>
      <c r="B619" t="s">
        <v>1204</v>
      </c>
      <c r="C619" s="2">
        <v>-0.9909422</v>
      </c>
    </row>
    <row r="620" spans="1:3">
      <c r="A620" s="1" t="s">
        <v>1205</v>
      </c>
      <c r="B620" t="s">
        <v>1206</v>
      </c>
      <c r="C620" s="2">
        <v>-1.4398070000000001</v>
      </c>
    </row>
    <row r="621" spans="1:3">
      <c r="A621" s="1" t="s">
        <v>1207</v>
      </c>
      <c r="B621" t="s">
        <v>1208</v>
      </c>
      <c r="C621" s="2">
        <v>-1.2775129999999999</v>
      </c>
    </row>
    <row r="622" spans="1:3">
      <c r="A622" s="1" t="s">
        <v>1209</v>
      </c>
      <c r="B622" t="s">
        <v>1210</v>
      </c>
      <c r="C622" s="2">
        <v>-1.1475930000000001</v>
      </c>
    </row>
    <row r="623" spans="1:3">
      <c r="A623" s="1" t="s">
        <v>1211</v>
      </c>
      <c r="B623" t="s">
        <v>1212</v>
      </c>
      <c r="C623" s="2">
        <v>-1.320576</v>
      </c>
    </row>
    <row r="624" spans="1:3">
      <c r="A624" s="1" t="s">
        <v>1213</v>
      </c>
      <c r="B624" t="s">
        <v>1214</v>
      </c>
      <c r="C624" s="2">
        <v>-0.79316469999999994</v>
      </c>
    </row>
    <row r="625" spans="1:3">
      <c r="A625" s="1" t="s">
        <v>1215</v>
      </c>
      <c r="B625" t="s">
        <v>1216</v>
      </c>
      <c r="C625" s="2">
        <v>-3.7022699999999999E-2</v>
      </c>
    </row>
    <row r="626" spans="1:3">
      <c r="A626" s="1" t="s">
        <v>1217</v>
      </c>
      <c r="B626" t="s">
        <v>1218</v>
      </c>
      <c r="C626" s="2">
        <v>-0.92706639999999996</v>
      </c>
    </row>
    <row r="627" spans="1:3">
      <c r="A627" s="1" t="s">
        <v>1219</v>
      </c>
      <c r="B627" t="s">
        <v>1220</v>
      </c>
      <c r="C627" s="2">
        <v>-0.86891309999999999</v>
      </c>
    </row>
    <row r="628" spans="1:3">
      <c r="A628" s="1" t="s">
        <v>1221</v>
      </c>
      <c r="B628" t="s">
        <v>1222</v>
      </c>
      <c r="C628" s="2">
        <v>-0.75167890000000004</v>
      </c>
    </row>
    <row r="629" spans="1:3">
      <c r="A629" s="1" t="s">
        <v>1223</v>
      </c>
      <c r="B629" t="s">
        <v>1224</v>
      </c>
      <c r="C629" s="2">
        <v>-0.65231079999999997</v>
      </c>
    </row>
    <row r="630" spans="1:3">
      <c r="A630" s="1" t="s">
        <v>1225</v>
      </c>
      <c r="B630" t="s">
        <v>1226</v>
      </c>
      <c r="C630" s="2">
        <v>-1.044632</v>
      </c>
    </row>
    <row r="631" spans="1:3">
      <c r="A631" s="1" t="s">
        <v>1227</v>
      </c>
      <c r="B631" t="s">
        <v>1228</v>
      </c>
      <c r="C631" s="2">
        <v>-1.0775729999999999</v>
      </c>
    </row>
    <row r="632" spans="1:3">
      <c r="A632" s="1" t="s">
        <v>1229</v>
      </c>
      <c r="B632" t="s">
        <v>1230</v>
      </c>
      <c r="C632" s="2">
        <v>-1.276767</v>
      </c>
    </row>
    <row r="633" spans="1:3">
      <c r="A633" s="1" t="s">
        <v>1231</v>
      </c>
      <c r="B633" t="s">
        <v>1232</v>
      </c>
      <c r="C633" s="2">
        <v>-0.83160120000000004</v>
      </c>
    </row>
    <row r="634" spans="1:3">
      <c r="A634" s="1" t="s">
        <v>1233</v>
      </c>
      <c r="B634" t="s">
        <v>1234</v>
      </c>
      <c r="C634" s="2">
        <v>-0.63544959999999995</v>
      </c>
    </row>
    <row r="635" spans="1:3">
      <c r="A635" s="1" t="s">
        <v>1235</v>
      </c>
      <c r="B635" t="s">
        <v>1236</v>
      </c>
      <c r="C635" s="2">
        <v>-0.47429389999999999</v>
      </c>
    </row>
    <row r="636" spans="1:3">
      <c r="A636" s="1" t="s">
        <v>1237</v>
      </c>
      <c r="B636" t="s">
        <v>1238</v>
      </c>
      <c r="C636" s="2">
        <v>-0.976576</v>
      </c>
    </row>
    <row r="637" spans="1:3">
      <c r="A637" s="1" t="s">
        <v>1239</v>
      </c>
      <c r="B637" t="s">
        <v>1240</v>
      </c>
      <c r="C637" s="2">
        <v>-1.0259</v>
      </c>
    </row>
    <row r="638" spans="1:3">
      <c r="A638" s="1" t="s">
        <v>1241</v>
      </c>
      <c r="B638" t="s">
        <v>1242</v>
      </c>
      <c r="C638" s="2">
        <v>-1.5429459999999999</v>
      </c>
    </row>
    <row r="639" spans="1:3">
      <c r="A639" s="1" t="s">
        <v>1243</v>
      </c>
      <c r="B639" t="s">
        <v>1244</v>
      </c>
      <c r="C639" s="2">
        <v>-0.79008409999999996</v>
      </c>
    </row>
    <row r="640" spans="1:3">
      <c r="A640" s="1" t="s">
        <v>1245</v>
      </c>
      <c r="B640" t="s">
        <v>1246</v>
      </c>
      <c r="C640" s="2">
        <v>-0.42682110000000001</v>
      </c>
    </row>
    <row r="641" spans="1:3">
      <c r="A641" s="1" t="s">
        <v>1247</v>
      </c>
      <c r="B641" t="s">
        <v>1248</v>
      </c>
      <c r="C641" s="2">
        <v>-0.61853409999999998</v>
      </c>
    </row>
    <row r="642" spans="1:3">
      <c r="A642" s="1" t="s">
        <v>1249</v>
      </c>
      <c r="B642" t="s">
        <v>1250</v>
      </c>
      <c r="C642" s="2">
        <v>-0.88818770000000002</v>
      </c>
    </row>
    <row r="643" spans="1:3">
      <c r="A643" s="1" t="s">
        <v>1251</v>
      </c>
      <c r="B643" t="s">
        <v>1252</v>
      </c>
      <c r="C643" s="2">
        <v>-0.34118399999999999</v>
      </c>
    </row>
    <row r="644" spans="1:3">
      <c r="A644" s="1" t="s">
        <v>1253</v>
      </c>
      <c r="B644" t="s">
        <v>1254</v>
      </c>
      <c r="C644" s="2">
        <v>-1.324775</v>
      </c>
    </row>
    <row r="645" spans="1:3">
      <c r="A645" s="1" t="s">
        <v>1255</v>
      </c>
      <c r="B645" t="s">
        <v>1256</v>
      </c>
      <c r="C645" s="2">
        <v>-0.88099099999999997</v>
      </c>
    </row>
    <row r="646" spans="1:3">
      <c r="A646" s="1" t="s">
        <v>1257</v>
      </c>
      <c r="B646" t="s">
        <v>1258</v>
      </c>
      <c r="C646" s="2">
        <v>-1.186053</v>
      </c>
    </row>
    <row r="647" spans="1:3">
      <c r="A647" s="1" t="s">
        <v>1259</v>
      </c>
      <c r="B647" t="s">
        <v>1260</v>
      </c>
      <c r="C647" s="2">
        <v>-1.149575</v>
      </c>
    </row>
    <row r="648" spans="1:3">
      <c r="A648" s="1" t="s">
        <v>1261</v>
      </c>
      <c r="B648" t="s">
        <v>1262</v>
      </c>
      <c r="C648" s="2">
        <v>-0.88682150000000004</v>
      </c>
    </row>
    <row r="649" spans="1:3">
      <c r="A649" s="1" t="s">
        <v>1263</v>
      </c>
      <c r="B649" t="s">
        <v>1264</v>
      </c>
      <c r="C649" s="2">
        <v>-1.194061</v>
      </c>
    </row>
    <row r="650" spans="1:3">
      <c r="A650" s="1" t="s">
        <v>1265</v>
      </c>
      <c r="B650" t="s">
        <v>1266</v>
      </c>
      <c r="C650" s="2">
        <v>-1.126104</v>
      </c>
    </row>
    <row r="651" spans="1:3">
      <c r="A651" s="1" t="s">
        <v>1267</v>
      </c>
      <c r="B651" t="s">
        <v>1268</v>
      </c>
      <c r="C651" s="2">
        <v>-0.86701070000000002</v>
      </c>
    </row>
    <row r="652" spans="1:3">
      <c r="A652" s="1" t="s">
        <v>1269</v>
      </c>
      <c r="B652" t="s">
        <v>1270</v>
      </c>
      <c r="C652" s="2">
        <v>-0.9782187</v>
      </c>
    </row>
    <row r="653" spans="1:3">
      <c r="A653" s="1" t="s">
        <v>1271</v>
      </c>
      <c r="B653" t="s">
        <v>1272</v>
      </c>
      <c r="C653" s="2">
        <v>-1.3035239999999999</v>
      </c>
    </row>
    <row r="654" spans="1:3">
      <c r="A654" s="1" t="s">
        <v>1273</v>
      </c>
      <c r="B654" t="s">
        <v>1274</v>
      </c>
      <c r="C654" s="2">
        <v>-1.1433260000000001</v>
      </c>
    </row>
    <row r="655" spans="1:3">
      <c r="A655" s="1" t="s">
        <v>1275</v>
      </c>
      <c r="B655" t="s">
        <v>1276</v>
      </c>
      <c r="C655" s="2">
        <v>-0.86771189999999998</v>
      </c>
    </row>
    <row r="656" spans="1:3">
      <c r="A656" s="1" t="s">
        <v>1277</v>
      </c>
      <c r="B656" t="s">
        <v>1278</v>
      </c>
      <c r="C656" s="2">
        <v>-0.7883947</v>
      </c>
    </row>
    <row r="657" spans="1:3">
      <c r="A657" s="1" t="s">
        <v>1279</v>
      </c>
      <c r="B657" t="s">
        <v>1280</v>
      </c>
      <c r="C657" s="2">
        <v>-1.6417330000000001</v>
      </c>
    </row>
    <row r="658" spans="1:3">
      <c r="A658" s="1" t="s">
        <v>1281</v>
      </c>
      <c r="B658" t="s">
        <v>1282</v>
      </c>
      <c r="C658" s="2">
        <v>-1.108139</v>
      </c>
    </row>
    <row r="659" spans="1:3">
      <c r="A659" s="1" t="s">
        <v>1283</v>
      </c>
      <c r="B659" t="s">
        <v>1284</v>
      </c>
      <c r="C659" s="2">
        <v>-0.84487619999999997</v>
      </c>
    </row>
    <row r="660" spans="1:3">
      <c r="A660" s="1" t="s">
        <v>1285</v>
      </c>
      <c r="B660" t="s">
        <v>1286</v>
      </c>
      <c r="C660" s="2">
        <v>-0.68715139999999997</v>
      </c>
    </row>
    <row r="661" spans="1:3">
      <c r="A661" s="1" t="s">
        <v>1287</v>
      </c>
      <c r="B661" t="s">
        <v>1288</v>
      </c>
      <c r="C661" s="2">
        <v>-1.2978209999999999</v>
      </c>
    </row>
    <row r="662" spans="1:3">
      <c r="A662" s="1" t="s">
        <v>1289</v>
      </c>
      <c r="B662" t="s">
        <v>1290</v>
      </c>
      <c r="C662" s="2">
        <v>-1.0478320000000001</v>
      </c>
    </row>
    <row r="663" spans="1:3">
      <c r="A663" s="1" t="s">
        <v>1291</v>
      </c>
      <c r="B663" t="s">
        <v>1292</v>
      </c>
      <c r="C663" s="2">
        <v>-1.1711039999999999</v>
      </c>
    </row>
    <row r="664" spans="1:3">
      <c r="A664" s="1" t="s">
        <v>1293</v>
      </c>
      <c r="B664" t="s">
        <v>1294</v>
      </c>
      <c r="C664" s="2">
        <v>-0.93595649999999997</v>
      </c>
    </row>
    <row r="665" spans="1:3">
      <c r="A665" s="1" t="s">
        <v>1295</v>
      </c>
      <c r="B665" t="s">
        <v>1296</v>
      </c>
      <c r="C665" s="2">
        <v>-0.82833049999999997</v>
      </c>
    </row>
    <row r="666" spans="1:3">
      <c r="A666" s="1" t="s">
        <v>1297</v>
      </c>
      <c r="B666" t="s">
        <v>1298</v>
      </c>
      <c r="C666" s="2">
        <v>-1.097234</v>
      </c>
    </row>
    <row r="667" spans="1:3">
      <c r="A667" s="1" t="s">
        <v>1299</v>
      </c>
      <c r="B667" t="s">
        <v>1300</v>
      </c>
      <c r="C667" s="2">
        <v>-1.4732E-3</v>
      </c>
    </row>
    <row r="668" spans="1:3">
      <c r="A668" s="1" t="s">
        <v>1301</v>
      </c>
      <c r="B668" t="s">
        <v>1302</v>
      </c>
      <c r="C668" s="2">
        <v>-0.84433999999999998</v>
      </c>
    </row>
    <row r="669" spans="1:3">
      <c r="A669" s="1" t="s">
        <v>1303</v>
      </c>
      <c r="B669" t="s">
        <v>1304</v>
      </c>
      <c r="C669" s="2">
        <v>-0.91392929999999994</v>
      </c>
    </row>
    <row r="670" spans="1:3">
      <c r="A670" s="1" t="s">
        <v>1305</v>
      </c>
      <c r="B670" t="s">
        <v>1306</v>
      </c>
      <c r="C670" s="2">
        <v>-0.88948780000000005</v>
      </c>
    </row>
    <row r="671" spans="1:3">
      <c r="A671" s="1" t="s">
        <v>1307</v>
      </c>
      <c r="B671" t="s">
        <v>1308</v>
      </c>
      <c r="C671" s="2">
        <v>-1.8539060000000001</v>
      </c>
    </row>
    <row r="672" spans="1:3">
      <c r="A672" s="1" t="s">
        <v>1309</v>
      </c>
      <c r="B672" t="s">
        <v>1310</v>
      </c>
      <c r="C672" s="2">
        <v>-1.272624</v>
      </c>
    </row>
    <row r="673" spans="1:3">
      <c r="A673" s="1" t="s">
        <v>1311</v>
      </c>
      <c r="B673" t="s">
        <v>1312</v>
      </c>
      <c r="C673" s="2">
        <v>-1.006982</v>
      </c>
    </row>
    <row r="674" spans="1:3">
      <c r="A674" s="1" t="s">
        <v>1313</v>
      </c>
      <c r="B674" t="s">
        <v>1314</v>
      </c>
      <c r="C674" s="2">
        <v>-1.0524039999999999</v>
      </c>
    </row>
    <row r="675" spans="1:3">
      <c r="A675" s="1" t="s">
        <v>1315</v>
      </c>
      <c r="B675" t="s">
        <v>1316</v>
      </c>
      <c r="C675" s="2">
        <v>-1.0193620000000001</v>
      </c>
    </row>
    <row r="676" spans="1:3">
      <c r="A676" s="1" t="s">
        <v>1317</v>
      </c>
      <c r="B676" t="s">
        <v>1318</v>
      </c>
      <c r="C676" s="2">
        <v>-0.60653760000000001</v>
      </c>
    </row>
    <row r="677" spans="1:3">
      <c r="A677" s="1" t="s">
        <v>1319</v>
      </c>
      <c r="B677" t="s">
        <v>1320</v>
      </c>
      <c r="C677" s="2">
        <v>-0.92296489999999998</v>
      </c>
    </row>
    <row r="678" spans="1:3">
      <c r="A678" s="1" t="s">
        <v>1321</v>
      </c>
      <c r="B678" t="s">
        <v>1322</v>
      </c>
      <c r="C678" s="2">
        <v>-1.1160330000000001</v>
      </c>
    </row>
    <row r="679" spans="1:3">
      <c r="A679" s="1" t="s">
        <v>1323</v>
      </c>
      <c r="B679" t="s">
        <v>1324</v>
      </c>
      <c r="C679" s="2">
        <v>-1.155505</v>
      </c>
    </row>
    <row r="680" spans="1:3">
      <c r="A680" s="1" t="s">
        <v>1325</v>
      </c>
      <c r="B680" t="s">
        <v>1326</v>
      </c>
      <c r="C680" s="2">
        <v>-1.416544</v>
      </c>
    </row>
    <row r="681" spans="1:3">
      <c r="A681" s="1" t="s">
        <v>1327</v>
      </c>
      <c r="B681" t="s">
        <v>1328</v>
      </c>
      <c r="C681" s="2">
        <v>-0.92380470000000003</v>
      </c>
    </row>
    <row r="682" spans="1:3">
      <c r="A682" s="1" t="s">
        <v>1329</v>
      </c>
      <c r="B682" t="s">
        <v>1330</v>
      </c>
      <c r="C682" s="2">
        <v>-0.33320329999999998</v>
      </c>
    </row>
    <row r="683" spans="1:3">
      <c r="A683" s="1" t="s">
        <v>1331</v>
      </c>
      <c r="B683" t="s">
        <v>1332</v>
      </c>
      <c r="C683" s="2">
        <v>-1.405178</v>
      </c>
    </row>
    <row r="684" spans="1:3">
      <c r="A684" s="1" t="s">
        <v>1333</v>
      </c>
      <c r="B684" t="s">
        <v>1334</v>
      </c>
      <c r="C684" s="2">
        <v>-1.3268470000000001</v>
      </c>
    </row>
    <row r="685" spans="1:3">
      <c r="A685" s="1" t="s">
        <v>1335</v>
      </c>
      <c r="B685" t="s">
        <v>1336</v>
      </c>
      <c r="C685" s="2">
        <v>-1.2381409999999999</v>
      </c>
    </row>
    <row r="686" spans="1:3">
      <c r="A686" s="1" t="s">
        <v>1337</v>
      </c>
      <c r="B686" t="s">
        <v>1338</v>
      </c>
      <c r="C686" s="2">
        <v>-0.8021085</v>
      </c>
    </row>
    <row r="687" spans="1:3">
      <c r="A687" s="1" t="s">
        <v>1339</v>
      </c>
      <c r="B687" t="s">
        <v>1340</v>
      </c>
      <c r="C687" s="2">
        <v>-1.208153</v>
      </c>
    </row>
    <row r="688" spans="1:3">
      <c r="A688" s="1" t="s">
        <v>1341</v>
      </c>
      <c r="B688" t="s">
        <v>1342</v>
      </c>
      <c r="C688" s="2">
        <v>-1.2650490000000001</v>
      </c>
    </row>
    <row r="689" spans="1:3">
      <c r="A689" s="1" t="s">
        <v>1343</v>
      </c>
      <c r="B689" t="s">
        <v>1344</v>
      </c>
      <c r="C689" s="2">
        <v>-1.2039059999999999</v>
      </c>
    </row>
    <row r="690" spans="1:3">
      <c r="A690" s="1" t="s">
        <v>1345</v>
      </c>
      <c r="B690" t="s">
        <v>1346</v>
      </c>
      <c r="C690" s="2">
        <v>0.40881699999999999</v>
      </c>
    </row>
    <row r="691" spans="1:3">
      <c r="A691" s="1" t="s">
        <v>1347</v>
      </c>
      <c r="B691" t="s">
        <v>1348</v>
      </c>
      <c r="C691" s="2">
        <v>0.2565828</v>
      </c>
    </row>
    <row r="692" spans="1:3">
      <c r="A692" s="1" t="s">
        <v>1349</v>
      </c>
      <c r="B692" t="s">
        <v>1350</v>
      </c>
      <c r="C692" s="2">
        <v>-0.44111689999999998</v>
      </c>
    </row>
    <row r="693" spans="1:3">
      <c r="A693" s="1" t="s">
        <v>1351</v>
      </c>
      <c r="B693" t="s">
        <v>1352</v>
      </c>
      <c r="C693" s="2">
        <v>-0.57976899999999998</v>
      </c>
    </row>
    <row r="694" spans="1:3">
      <c r="A694" s="1" t="s">
        <v>1353</v>
      </c>
      <c r="B694" t="s">
        <v>1354</v>
      </c>
      <c r="C694" s="2">
        <v>-0.55905850000000001</v>
      </c>
    </row>
    <row r="695" spans="1:3">
      <c r="A695" s="1" t="s">
        <v>1355</v>
      </c>
      <c r="B695" t="s">
        <v>1356</v>
      </c>
      <c r="C695" s="2">
        <v>-0.56014900000000001</v>
      </c>
    </row>
    <row r="696" spans="1:3">
      <c r="A696" s="1" t="s">
        <v>1357</v>
      </c>
      <c r="B696" t="s">
        <v>1358</v>
      </c>
      <c r="C696" s="2">
        <v>-0.57418860000000005</v>
      </c>
    </row>
    <row r="697" spans="1:3">
      <c r="A697" s="1" t="s">
        <v>1359</v>
      </c>
      <c r="B697" t="s">
        <v>1360</v>
      </c>
      <c r="C697" s="2">
        <v>-0.65056919999999996</v>
      </c>
    </row>
    <row r="698" spans="1:3">
      <c r="A698" s="1" t="s">
        <v>1361</v>
      </c>
      <c r="B698" t="s">
        <v>1362</v>
      </c>
      <c r="C698" s="2">
        <v>-0.81084049999999996</v>
      </c>
    </row>
    <row r="699" spans="1:3">
      <c r="A699" s="1" t="s">
        <v>1363</v>
      </c>
      <c r="B699" t="s">
        <v>1364</v>
      </c>
      <c r="C699" s="2">
        <v>-0.67802450000000003</v>
      </c>
    </row>
    <row r="700" spans="1:3">
      <c r="A700" s="1" t="s">
        <v>1365</v>
      </c>
      <c r="B700" t="s">
        <v>1366</v>
      </c>
      <c r="C700" s="2">
        <v>-1.0483610000000001</v>
      </c>
    </row>
    <row r="701" spans="1:3">
      <c r="A701" s="1" t="s">
        <v>1367</v>
      </c>
      <c r="B701" t="s">
        <v>1368</v>
      </c>
      <c r="C701" s="2">
        <v>-1.135783</v>
      </c>
    </row>
    <row r="702" spans="1:3">
      <c r="A702" s="1" t="s">
        <v>1369</v>
      </c>
      <c r="B702" t="s">
        <v>1370</v>
      </c>
      <c r="C702" s="2">
        <v>-1.219517</v>
      </c>
    </row>
    <row r="703" spans="1:3">
      <c r="A703" s="1" t="s">
        <v>1371</v>
      </c>
      <c r="B703" t="s">
        <v>1372</v>
      </c>
      <c r="C703" s="2">
        <v>-0.94090399999999996</v>
      </c>
    </row>
    <row r="704" spans="1:3">
      <c r="A704" s="1" t="s">
        <v>1373</v>
      </c>
      <c r="B704" t="s">
        <v>1374</v>
      </c>
      <c r="C704" s="2">
        <v>-0.94575260000000005</v>
      </c>
    </row>
    <row r="705" spans="1:3">
      <c r="A705" s="1" t="s">
        <v>1375</v>
      </c>
      <c r="B705" t="s">
        <v>1376</v>
      </c>
      <c r="C705" s="2">
        <v>-1.198831</v>
      </c>
    </row>
    <row r="706" spans="1:3">
      <c r="A706" s="1" t="s">
        <v>1377</v>
      </c>
      <c r="B706" t="s">
        <v>1378</v>
      </c>
      <c r="C706" s="2">
        <v>-1.137883</v>
      </c>
    </row>
    <row r="707" spans="1:3">
      <c r="A707" s="1" t="s">
        <v>1379</v>
      </c>
      <c r="B707" t="s">
        <v>1380</v>
      </c>
      <c r="C707" s="2">
        <v>-0.84681200000000001</v>
      </c>
    </row>
    <row r="708" spans="1:3">
      <c r="A708" s="1" t="s">
        <v>1381</v>
      </c>
      <c r="B708" t="s">
        <v>1382</v>
      </c>
      <c r="C708" s="2">
        <v>-0.15567810000000001</v>
      </c>
    </row>
    <row r="709" spans="1:3">
      <c r="A709" s="1" t="s">
        <v>1383</v>
      </c>
      <c r="B709" t="s">
        <v>1384</v>
      </c>
      <c r="C709" s="2">
        <v>-0.63665360000000004</v>
      </c>
    </row>
    <row r="710" spans="1:3">
      <c r="A710" s="1" t="s">
        <v>1385</v>
      </c>
      <c r="B710" t="s">
        <v>1386</v>
      </c>
      <c r="C710" s="2">
        <v>-0.43735810000000003</v>
      </c>
    </row>
    <row r="711" spans="1:3">
      <c r="A711" s="1" t="s">
        <v>1387</v>
      </c>
      <c r="B711" t="s">
        <v>1388</v>
      </c>
      <c r="C711" s="2">
        <v>-0.54830780000000001</v>
      </c>
    </row>
    <row r="712" spans="1:3">
      <c r="A712" s="1" t="s">
        <v>1389</v>
      </c>
      <c r="B712" t="s">
        <v>1390</v>
      </c>
      <c r="C712" s="2">
        <v>-0.91839280000000001</v>
      </c>
    </row>
    <row r="713" spans="1:3">
      <c r="A713" s="1" t="s">
        <v>1391</v>
      </c>
      <c r="B713" t="s">
        <v>1392</v>
      </c>
      <c r="C713" s="2">
        <v>-1.0107280000000001</v>
      </c>
    </row>
    <row r="714" spans="1:3">
      <c r="A714" s="1" t="s">
        <v>1393</v>
      </c>
      <c r="B714" t="s">
        <v>1394</v>
      </c>
      <c r="C714" s="2">
        <v>-1.278573</v>
      </c>
    </row>
    <row r="715" spans="1:3">
      <c r="A715" s="1" t="s">
        <v>1395</v>
      </c>
      <c r="B715" t="s">
        <v>1396</v>
      </c>
      <c r="C715" s="2">
        <v>-1.568217</v>
      </c>
    </row>
    <row r="716" spans="1:3">
      <c r="A716" s="1" t="s">
        <v>1397</v>
      </c>
      <c r="B716" t="s">
        <v>1398</v>
      </c>
      <c r="C716" s="2">
        <v>-0.95107609999999998</v>
      </c>
    </row>
    <row r="717" spans="1:3">
      <c r="A717" s="1" t="s">
        <v>1399</v>
      </c>
      <c r="B717" t="s">
        <v>1400</v>
      </c>
      <c r="C717" s="2">
        <v>-0.71329679999999995</v>
      </c>
    </row>
    <row r="718" spans="1:3">
      <c r="A718" s="1" t="s">
        <v>1401</v>
      </c>
      <c r="B718" t="s">
        <v>1402</v>
      </c>
      <c r="C718" s="2">
        <v>-0.4977627</v>
      </c>
    </row>
    <row r="719" spans="1:3">
      <c r="A719" s="1" t="s">
        <v>1403</v>
      </c>
      <c r="B719" t="s">
        <v>1404</v>
      </c>
      <c r="C719" s="2">
        <v>-1.2854730000000001</v>
      </c>
    </row>
    <row r="720" spans="1:3">
      <c r="A720" s="1" t="s">
        <v>1405</v>
      </c>
      <c r="B720" t="s">
        <v>1406</v>
      </c>
      <c r="C720" s="2">
        <v>-1.124215</v>
      </c>
    </row>
    <row r="721" spans="1:3">
      <c r="A721" s="1" t="s">
        <v>1407</v>
      </c>
      <c r="B721" t="s">
        <v>1408</v>
      </c>
      <c r="C721" s="2">
        <v>-1.03085</v>
      </c>
    </row>
    <row r="722" spans="1:3">
      <c r="A722" s="1" t="s">
        <v>1409</v>
      </c>
      <c r="B722" t="s">
        <v>1410</v>
      </c>
      <c r="C722" s="2">
        <v>-0.77456899999999995</v>
      </c>
    </row>
    <row r="723" spans="1:3">
      <c r="A723" s="1" t="s">
        <v>1411</v>
      </c>
      <c r="B723" t="s">
        <v>1412</v>
      </c>
      <c r="C723" s="2">
        <v>-1.2412380000000001</v>
      </c>
    </row>
    <row r="724" spans="1:3">
      <c r="A724" s="1" t="s">
        <v>1413</v>
      </c>
      <c r="B724" t="s">
        <v>1414</v>
      </c>
      <c r="C724" s="2">
        <v>-0.91744369999999997</v>
      </c>
    </row>
    <row r="725" spans="1:3">
      <c r="A725" s="1" t="s">
        <v>1415</v>
      </c>
      <c r="B725" t="s">
        <v>1416</v>
      </c>
      <c r="C725" s="2">
        <v>-1.462842</v>
      </c>
    </row>
    <row r="726" spans="1:3">
      <c r="A726" s="1" t="s">
        <v>1417</v>
      </c>
      <c r="B726" t="s">
        <v>1418</v>
      </c>
      <c r="C726" s="2">
        <v>-1.35537</v>
      </c>
    </row>
    <row r="727" spans="1:3">
      <c r="A727" s="1" t="s">
        <v>1419</v>
      </c>
      <c r="B727" t="s">
        <v>1420</v>
      </c>
      <c r="C727" s="2">
        <v>-1.3628</v>
      </c>
    </row>
    <row r="728" spans="1:3">
      <c r="A728" s="1" t="s">
        <v>1421</v>
      </c>
      <c r="B728" t="s">
        <v>1422</v>
      </c>
      <c r="C728" s="2">
        <v>-0.75110790000000005</v>
      </c>
    </row>
    <row r="729" spans="1:3">
      <c r="A729" s="1" t="s">
        <v>1423</v>
      </c>
      <c r="B729" t="s">
        <v>1424</v>
      </c>
      <c r="C729" s="2">
        <v>0.13842670000000001</v>
      </c>
    </row>
    <row r="730" spans="1:3">
      <c r="A730" s="1" t="s">
        <v>1425</v>
      </c>
      <c r="B730" t="s">
        <v>1426</v>
      </c>
      <c r="C730" s="2">
        <v>6.7780400000000005E-2</v>
      </c>
    </row>
    <row r="731" spans="1:3">
      <c r="A731" s="1" t="s">
        <v>1427</v>
      </c>
      <c r="B731" t="s">
        <v>1428</v>
      </c>
      <c r="C731" s="2">
        <v>-0.75849049999999996</v>
      </c>
    </row>
    <row r="732" spans="1:3">
      <c r="A732" s="1" t="s">
        <v>1429</v>
      </c>
      <c r="B732" t="s">
        <v>1430</v>
      </c>
      <c r="C732" s="2">
        <v>-0.64436269999999995</v>
      </c>
    </row>
    <row r="733" spans="1:3">
      <c r="A733" s="1" t="s">
        <v>1431</v>
      </c>
      <c r="B733" t="s">
        <v>1432</v>
      </c>
      <c r="C733" s="2">
        <v>0.64765200000000001</v>
      </c>
    </row>
    <row r="734" spans="1:3">
      <c r="A734" s="1" t="s">
        <v>1433</v>
      </c>
      <c r="B734" t="s">
        <v>1434</v>
      </c>
      <c r="C734" s="2">
        <v>0.24575330000000001</v>
      </c>
    </row>
    <row r="735" spans="1:3">
      <c r="A735" s="1" t="s">
        <v>1435</v>
      </c>
      <c r="B735" t="s">
        <v>1436</v>
      </c>
      <c r="C735" s="2">
        <v>-0.36491240000000003</v>
      </c>
    </row>
    <row r="736" spans="1:3">
      <c r="A736" s="1" t="s">
        <v>1437</v>
      </c>
      <c r="B736" t="s">
        <v>1438</v>
      </c>
      <c r="C736" s="2">
        <v>-0.84436020000000001</v>
      </c>
    </row>
    <row r="737" spans="1:3">
      <c r="A737" s="1" t="s">
        <v>1439</v>
      </c>
      <c r="B737" t="s">
        <v>1440</v>
      </c>
      <c r="C737" s="2">
        <v>-1.0500480000000001</v>
      </c>
    </row>
    <row r="738" spans="1:3">
      <c r="A738" s="1" t="s">
        <v>1441</v>
      </c>
      <c r="B738" t="s">
        <v>1442</v>
      </c>
      <c r="C738" s="2">
        <v>-0.72862800000000005</v>
      </c>
    </row>
    <row r="739" spans="1:3">
      <c r="A739" s="1" t="s">
        <v>1443</v>
      </c>
      <c r="B739" t="s">
        <v>1444</v>
      </c>
      <c r="C739" s="2">
        <v>-0.72221959999999996</v>
      </c>
    </row>
    <row r="740" spans="1:3">
      <c r="A740" s="1" t="s">
        <v>1445</v>
      </c>
      <c r="B740" t="s">
        <v>1446</v>
      </c>
      <c r="C740" s="2">
        <v>-1.400404</v>
      </c>
    </row>
    <row r="741" spans="1:3">
      <c r="A741" s="1" t="s">
        <v>1447</v>
      </c>
      <c r="B741" t="s">
        <v>1448</v>
      </c>
      <c r="C741" s="2">
        <v>-1.2002409999999999</v>
      </c>
    </row>
    <row r="742" spans="1:3">
      <c r="A742" s="1" t="s">
        <v>1449</v>
      </c>
      <c r="B742" t="s">
        <v>1450</v>
      </c>
      <c r="C742" s="2">
        <v>-0.93803510000000001</v>
      </c>
    </row>
    <row r="743" spans="1:3">
      <c r="A743" s="1" t="s">
        <v>1451</v>
      </c>
      <c r="B743" t="s">
        <v>1452</v>
      </c>
      <c r="C743" s="2">
        <v>-0.91616589999999998</v>
      </c>
    </row>
    <row r="744" spans="1:3">
      <c r="A744" s="1" t="s">
        <v>1453</v>
      </c>
      <c r="B744" t="s">
        <v>1454</v>
      </c>
      <c r="C744" s="2">
        <v>-1.0729770000000001</v>
      </c>
    </row>
    <row r="745" spans="1:3">
      <c r="A745" s="1" t="s">
        <v>1455</v>
      </c>
      <c r="B745" t="s">
        <v>1456</v>
      </c>
      <c r="C745" s="2">
        <v>-1.021101</v>
      </c>
    </row>
    <row r="746" spans="1:3">
      <c r="A746" s="1" t="s">
        <v>1457</v>
      </c>
      <c r="B746" t="s">
        <v>1458</v>
      </c>
      <c r="C746" s="2">
        <v>-1.3060989999999999</v>
      </c>
    </row>
    <row r="747" spans="1:3">
      <c r="A747" s="1" t="s">
        <v>1459</v>
      </c>
      <c r="B747" t="s">
        <v>1460</v>
      </c>
      <c r="C747" s="2">
        <v>-0.57906159999999995</v>
      </c>
    </row>
    <row r="748" spans="1:3">
      <c r="A748" s="1" t="s">
        <v>1461</v>
      </c>
      <c r="B748" t="s">
        <v>1462</v>
      </c>
      <c r="C748" s="2">
        <v>-0.91251289999999996</v>
      </c>
    </row>
    <row r="749" spans="1:3">
      <c r="A749" s="1" t="s">
        <v>1463</v>
      </c>
      <c r="B749" t="s">
        <v>1464</v>
      </c>
      <c r="C749" s="2">
        <v>-1.269228</v>
      </c>
    </row>
    <row r="750" spans="1:3">
      <c r="A750" s="1" t="s">
        <v>1465</v>
      </c>
      <c r="B750" t="s">
        <v>1466</v>
      </c>
      <c r="C750" s="2">
        <v>-0.79302609999999996</v>
      </c>
    </row>
    <row r="751" spans="1:3">
      <c r="A751" s="1" t="s">
        <v>1467</v>
      </c>
      <c r="B751" t="s">
        <v>1468</v>
      </c>
      <c r="C751" s="2">
        <v>-1.1765220000000001</v>
      </c>
    </row>
    <row r="752" spans="1:3">
      <c r="A752" s="1" t="s">
        <v>1469</v>
      </c>
      <c r="B752" t="s">
        <v>1470</v>
      </c>
      <c r="C752" s="2">
        <v>-0.56719730000000002</v>
      </c>
    </row>
    <row r="753" spans="1:3">
      <c r="A753" s="1" t="s">
        <v>1471</v>
      </c>
      <c r="B753" t="s">
        <v>1472</v>
      </c>
      <c r="C753" s="2">
        <v>-0.79899790000000004</v>
      </c>
    </row>
    <row r="754" spans="1:3">
      <c r="A754" s="1" t="s">
        <v>1473</v>
      </c>
      <c r="B754" t="s">
        <v>1474</v>
      </c>
      <c r="C754" s="2">
        <v>-1.0376479999999999</v>
      </c>
    </row>
    <row r="755" spans="1:3">
      <c r="A755" s="1" t="s">
        <v>1475</v>
      </c>
      <c r="B755" t="s">
        <v>1476</v>
      </c>
      <c r="C755" s="2">
        <v>-1.1081460000000001</v>
      </c>
    </row>
    <row r="756" spans="1:3">
      <c r="A756" s="1" t="s">
        <v>1477</v>
      </c>
      <c r="B756" t="s">
        <v>1478</v>
      </c>
      <c r="C756" s="2">
        <v>0.1289119</v>
      </c>
    </row>
    <row r="757" spans="1:3">
      <c r="A757" s="1" t="s">
        <v>1479</v>
      </c>
      <c r="B757" t="s">
        <v>1480</v>
      </c>
      <c r="C757" s="2">
        <v>-0.31758160000000002</v>
      </c>
    </row>
    <row r="758" spans="1:3">
      <c r="A758" s="1" t="s">
        <v>1481</v>
      </c>
      <c r="B758" t="s">
        <v>1482</v>
      </c>
      <c r="C758" s="2">
        <v>-0.1178739</v>
      </c>
    </row>
    <row r="759" spans="1:3">
      <c r="A759" s="1" t="s">
        <v>1483</v>
      </c>
      <c r="B759" t="s">
        <v>1484</v>
      </c>
      <c r="C759" s="2">
        <v>-0.84558149999999999</v>
      </c>
    </row>
    <row r="760" spans="1:3">
      <c r="A760" s="1" t="s">
        <v>1485</v>
      </c>
      <c r="B760" t="s">
        <v>1486</v>
      </c>
      <c r="C760" s="2">
        <v>-1.351634</v>
      </c>
    </row>
    <row r="761" spans="1:3">
      <c r="A761" s="1" t="s">
        <v>1487</v>
      </c>
      <c r="B761" t="s">
        <v>1488</v>
      </c>
      <c r="C761" s="2">
        <v>-1.2555400000000001</v>
      </c>
    </row>
    <row r="762" spans="1:3">
      <c r="A762" s="1" t="s">
        <v>1489</v>
      </c>
      <c r="B762" t="s">
        <v>1490</v>
      </c>
      <c r="C762" s="2">
        <v>-1.364242</v>
      </c>
    </row>
    <row r="763" spans="1:3">
      <c r="A763" s="1" t="s">
        <v>1491</v>
      </c>
      <c r="B763" t="s">
        <v>1492</v>
      </c>
      <c r="C763" s="2">
        <v>-1.3904840000000001</v>
      </c>
    </row>
    <row r="764" spans="1:3">
      <c r="A764" s="1" t="s">
        <v>1493</v>
      </c>
      <c r="B764" t="s">
        <v>1494</v>
      </c>
      <c r="C764" s="2">
        <v>-1.1265689999999999</v>
      </c>
    </row>
    <row r="765" spans="1:3">
      <c r="A765" s="1" t="s">
        <v>1495</v>
      </c>
      <c r="B765" t="s">
        <v>1496</v>
      </c>
      <c r="C765" s="2">
        <v>-1.5754109999999999</v>
      </c>
    </row>
    <row r="766" spans="1:3">
      <c r="A766" s="1" t="s">
        <v>1497</v>
      </c>
      <c r="B766" t="s">
        <v>1498</v>
      </c>
      <c r="C766" s="2">
        <v>-1.535339</v>
      </c>
    </row>
    <row r="767" spans="1:3">
      <c r="A767" s="1" t="s">
        <v>1499</v>
      </c>
      <c r="B767" t="s">
        <v>1500</v>
      </c>
      <c r="C767" s="2">
        <v>-1.4984299999999999</v>
      </c>
    </row>
    <row r="768" spans="1:3">
      <c r="A768" s="1" t="s">
        <v>1501</v>
      </c>
      <c r="B768" t="s">
        <v>1502</v>
      </c>
      <c r="C768" s="2">
        <v>-1.013417</v>
      </c>
    </row>
    <row r="769" spans="1:3">
      <c r="A769" s="1" t="s">
        <v>1503</v>
      </c>
      <c r="B769" t="s">
        <v>1504</v>
      </c>
      <c r="C769" s="2">
        <v>-1.1933720000000001</v>
      </c>
    </row>
    <row r="770" spans="1:3">
      <c r="A770" s="1" t="s">
        <v>1505</v>
      </c>
      <c r="B770" t="s">
        <v>1506</v>
      </c>
      <c r="C770" s="2">
        <v>-0.87270329999999996</v>
      </c>
    </row>
    <row r="771" spans="1:3">
      <c r="A771" s="1" t="s">
        <v>1507</v>
      </c>
      <c r="B771" t="s">
        <v>1508</v>
      </c>
      <c r="C771" s="2">
        <v>-0.97165780000000002</v>
      </c>
    </row>
    <row r="772" spans="1:3">
      <c r="A772" s="1" t="s">
        <v>1509</v>
      </c>
      <c r="B772" t="s">
        <v>1510</v>
      </c>
      <c r="C772" s="2">
        <v>-1.099431</v>
      </c>
    </row>
    <row r="773" spans="1:3">
      <c r="A773" s="1" t="s">
        <v>1511</v>
      </c>
      <c r="B773" t="s">
        <v>1512</v>
      </c>
      <c r="C773" s="2">
        <v>-1.2627630000000001</v>
      </c>
    </row>
    <row r="774" spans="1:3">
      <c r="A774" s="1" t="s">
        <v>1513</v>
      </c>
      <c r="B774" t="s">
        <v>1514</v>
      </c>
      <c r="C774" s="2">
        <v>-1.497306</v>
      </c>
    </row>
    <row r="775" spans="1:3">
      <c r="A775" s="1" t="s">
        <v>1515</v>
      </c>
      <c r="B775" t="s">
        <v>1516</v>
      </c>
      <c r="C775" s="2">
        <v>-1.4031849999999999</v>
      </c>
    </row>
  </sheetData>
  <conditionalFormatting sqref="A2:A775">
    <cfRule type="duplicateValues" dxfId="0" priority="2"/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7760D-B329-42E3-AA81-1D8D4C84382A}">
  <dimension ref="A1:G251"/>
  <sheetViews>
    <sheetView tabSelected="1" topLeftCell="B1" workbookViewId="0">
      <selection activeCell="B16" sqref="B16"/>
    </sheetView>
  </sheetViews>
  <sheetFormatPr defaultRowHeight="14.4"/>
  <cols>
    <col min="1" max="1" width="7.33203125" style="1" bestFit="1" customWidth="1"/>
    <col min="2" max="2" width="104.5546875" bestFit="1" customWidth="1"/>
    <col min="3" max="3" width="22.44140625" style="2" bestFit="1" customWidth="1"/>
    <col min="4" max="4" width="14.109375" bestFit="1" customWidth="1"/>
    <col min="6" max="6" width="25.44140625" bestFit="1" customWidth="1"/>
  </cols>
  <sheetData>
    <row r="1" spans="1:7">
      <c r="A1" s="1" t="s">
        <v>2051</v>
      </c>
      <c r="B1" t="s">
        <v>2052</v>
      </c>
      <c r="C1" s="2" t="s">
        <v>2053</v>
      </c>
    </row>
    <row r="2" spans="1:7">
      <c r="A2" s="1" t="s">
        <v>1815</v>
      </c>
      <c r="B2" t="s">
        <v>1551</v>
      </c>
      <c r="C2" s="2">
        <v>1.4489399999999999</v>
      </c>
      <c r="F2" t="s">
        <v>2061</v>
      </c>
      <c r="G2">
        <f>COUNTA(A2:A251)</f>
        <v>250</v>
      </c>
    </row>
    <row r="3" spans="1:7">
      <c r="A3" s="1" t="s">
        <v>1816</v>
      </c>
      <c r="B3" t="s">
        <v>1552</v>
      </c>
      <c r="C3" s="2">
        <v>1.592071</v>
      </c>
      <c r="F3" t="s">
        <v>2062</v>
      </c>
      <c r="G3">
        <f>COUNT(A2:A251)</f>
        <v>0</v>
      </c>
    </row>
    <row r="4" spans="1:7">
      <c r="A4" s="1" t="s">
        <v>1817</v>
      </c>
      <c r="B4" t="s">
        <v>1553</v>
      </c>
      <c r="C4" s="2">
        <v>0.2288</v>
      </c>
      <c r="E4">
        <f>COUNT(C2:C251)</f>
        <v>250</v>
      </c>
      <c r="F4" t="s">
        <v>2065</v>
      </c>
      <c r="G4" cm="1">
        <f t="array" ref="G4">SUMPRODUCT(--(LEN(A2:A251)&lt;&gt;6))</f>
        <v>0</v>
      </c>
    </row>
    <row r="5" spans="1:7">
      <c r="A5" s="1" t="s">
        <v>1818</v>
      </c>
      <c r="B5" t="s">
        <v>1554</v>
      </c>
      <c r="C5" s="2">
        <v>0.35449639999999999</v>
      </c>
      <c r="E5">
        <f>COUNTA(C2:C251)</f>
        <v>250</v>
      </c>
    </row>
    <row r="6" spans="1:7">
      <c r="A6" s="1" t="s">
        <v>1819</v>
      </c>
      <c r="B6" t="s">
        <v>1555</v>
      </c>
      <c r="C6" s="2">
        <v>-0.97059139999999999</v>
      </c>
    </row>
    <row r="7" spans="1:7">
      <c r="A7" s="1" t="s">
        <v>1820</v>
      </c>
      <c r="B7" t="s">
        <v>1556</v>
      </c>
      <c r="C7" s="2">
        <v>0.2033846</v>
      </c>
      <c r="D7" t="s">
        <v>2054</v>
      </c>
      <c r="E7" s="2">
        <f>MIN(C2:C251)</f>
        <v>-1.9363900000000001</v>
      </c>
    </row>
    <row r="8" spans="1:7">
      <c r="A8" s="1" t="s">
        <v>1821</v>
      </c>
      <c r="B8" t="s">
        <v>1557</v>
      </c>
      <c r="C8" s="2">
        <v>0.99112500000000003</v>
      </c>
      <c r="D8" t="s">
        <v>2055</v>
      </c>
      <c r="E8" s="2">
        <f>MAX(C2:C251)</f>
        <v>2.1989299999999998</v>
      </c>
    </row>
    <row r="9" spans="1:7">
      <c r="A9" s="1" t="s">
        <v>1822</v>
      </c>
      <c r="B9" t="s">
        <v>1558</v>
      </c>
      <c r="C9" s="2">
        <v>0.51324400000000003</v>
      </c>
      <c r="D9" t="s">
        <v>2056</v>
      </c>
      <c r="E9" s="2">
        <f>AVERAGE(C2:C251)</f>
        <v>1.1999999784961802E-9</v>
      </c>
    </row>
    <row r="10" spans="1:7">
      <c r="A10" s="1" t="s">
        <v>1823</v>
      </c>
      <c r="B10" t="s">
        <v>1559</v>
      </c>
      <c r="C10" s="2">
        <v>0.76347430000000005</v>
      </c>
      <c r="D10" t="s">
        <v>2057</v>
      </c>
      <c r="E10" s="4">
        <f>COUNTIF(C2:C251,"&lt;0")</f>
        <v>138</v>
      </c>
    </row>
    <row r="11" spans="1:7">
      <c r="A11" s="1" t="s">
        <v>1824</v>
      </c>
      <c r="B11" t="s">
        <v>1560</v>
      </c>
      <c r="C11" s="2">
        <v>-7.7329200000000001E-2</v>
      </c>
      <c r="D11" t="s">
        <v>2058</v>
      </c>
      <c r="E11" s="4">
        <f>COUNTIF(C2:C251,0)</f>
        <v>0</v>
      </c>
    </row>
    <row r="12" spans="1:7">
      <c r="A12" s="1" t="s">
        <v>1825</v>
      </c>
      <c r="B12" t="s">
        <v>1561</v>
      </c>
      <c r="C12" s="2">
        <v>-0.8497112</v>
      </c>
    </row>
    <row r="13" spans="1:7">
      <c r="A13" s="1" t="s">
        <v>1826</v>
      </c>
      <c r="B13" t="s">
        <v>1562</v>
      </c>
      <c r="C13" s="2">
        <v>1.0623469999999999</v>
      </c>
    </row>
    <row r="14" spans="1:7">
      <c r="A14" s="1" t="s">
        <v>1827</v>
      </c>
      <c r="B14" t="s">
        <v>1563</v>
      </c>
      <c r="C14" s="2">
        <v>-0.66355739999999996</v>
      </c>
    </row>
    <row r="15" spans="1:7">
      <c r="A15" s="1" t="s">
        <v>1828</v>
      </c>
      <c r="B15" t="s">
        <v>1564</v>
      </c>
      <c r="C15" s="2">
        <v>-0.88511899999999999</v>
      </c>
    </row>
    <row r="16" spans="1:7">
      <c r="A16" s="1" t="s">
        <v>1829</v>
      </c>
      <c r="B16" t="s">
        <v>1565</v>
      </c>
      <c r="C16" s="2">
        <v>1.759217</v>
      </c>
    </row>
    <row r="17" spans="1:3">
      <c r="A17" s="1" t="s">
        <v>1566</v>
      </c>
      <c r="B17" t="s">
        <v>1567</v>
      </c>
      <c r="C17" s="2">
        <v>-0.31770660000000001</v>
      </c>
    </row>
    <row r="18" spans="1:3">
      <c r="A18" s="1" t="s">
        <v>1830</v>
      </c>
      <c r="B18" t="s">
        <v>1568</v>
      </c>
      <c r="C18" s="2">
        <v>-5.4017099999999998E-2</v>
      </c>
    </row>
    <row r="19" spans="1:3">
      <c r="A19" s="1" t="s">
        <v>1831</v>
      </c>
      <c r="B19" t="s">
        <v>1569</v>
      </c>
      <c r="C19" s="2">
        <v>0.45007710000000001</v>
      </c>
    </row>
    <row r="20" spans="1:3">
      <c r="A20" s="1" t="s">
        <v>1570</v>
      </c>
      <c r="B20" t="s">
        <v>1571</v>
      </c>
      <c r="C20" s="2">
        <v>0.69721010000000005</v>
      </c>
    </row>
    <row r="21" spans="1:3">
      <c r="A21" s="1" t="s">
        <v>1832</v>
      </c>
      <c r="B21" t="s">
        <v>1572</v>
      </c>
      <c r="C21" s="2">
        <v>1.1555230000000001</v>
      </c>
    </row>
    <row r="22" spans="1:3">
      <c r="A22" s="1" t="s">
        <v>1833</v>
      </c>
      <c r="B22" t="s">
        <v>1573</v>
      </c>
      <c r="C22" s="2">
        <v>-0.4006903</v>
      </c>
    </row>
    <row r="23" spans="1:3">
      <c r="A23" s="1" t="s">
        <v>1834</v>
      </c>
      <c r="B23" t="s">
        <v>1574</v>
      </c>
      <c r="C23" s="2">
        <v>0.4045842</v>
      </c>
    </row>
    <row r="24" spans="1:3">
      <c r="A24" s="1" t="s">
        <v>1835</v>
      </c>
      <c r="B24" t="s">
        <v>1575</v>
      </c>
      <c r="C24" s="2">
        <v>0.9446542</v>
      </c>
    </row>
    <row r="25" spans="1:3">
      <c r="A25" s="1" t="s">
        <v>1836</v>
      </c>
      <c r="B25" t="s">
        <v>1576</v>
      </c>
      <c r="C25" s="2">
        <v>-1.5300689999999999</v>
      </c>
    </row>
    <row r="26" spans="1:3">
      <c r="A26" s="1" t="s">
        <v>1837</v>
      </c>
      <c r="B26" t="s">
        <v>1577</v>
      </c>
      <c r="C26" s="2">
        <v>-8.5767200000000002E-2</v>
      </c>
    </row>
    <row r="27" spans="1:3">
      <c r="A27" s="1" t="s">
        <v>1838</v>
      </c>
      <c r="B27" t="s">
        <v>1578</v>
      </c>
      <c r="C27" s="2">
        <v>-0.31008920000000001</v>
      </c>
    </row>
    <row r="28" spans="1:3">
      <c r="A28" s="1" t="s">
        <v>1839</v>
      </c>
      <c r="B28" t="s">
        <v>1579</v>
      </c>
      <c r="C28" s="2">
        <v>-1.168177</v>
      </c>
    </row>
    <row r="29" spans="1:3">
      <c r="A29" s="1" t="s">
        <v>1840</v>
      </c>
      <c r="B29" t="s">
        <v>1580</v>
      </c>
      <c r="C29" s="2">
        <v>-1.054775</v>
      </c>
    </row>
    <row r="30" spans="1:3">
      <c r="A30" s="1" t="s">
        <v>1841</v>
      </c>
      <c r="B30" t="s">
        <v>1581</v>
      </c>
      <c r="C30" s="2">
        <v>-0.15935340000000001</v>
      </c>
    </row>
    <row r="31" spans="1:3">
      <c r="A31" s="1" t="s">
        <v>1842</v>
      </c>
      <c r="B31" t="s">
        <v>1582</v>
      </c>
      <c r="C31" s="2">
        <v>-0.9997897</v>
      </c>
    </row>
    <row r="32" spans="1:3">
      <c r="A32" s="1" t="s">
        <v>1843</v>
      </c>
      <c r="B32" t="s">
        <v>1583</v>
      </c>
      <c r="C32" s="2">
        <v>-6.0761200000000001E-2</v>
      </c>
    </row>
    <row r="33" spans="1:3">
      <c r="A33" s="1" t="s">
        <v>1844</v>
      </c>
      <c r="B33" t="s">
        <v>1584</v>
      </c>
      <c r="C33" s="2">
        <v>-0.89675000000000005</v>
      </c>
    </row>
    <row r="34" spans="1:3">
      <c r="A34" s="1" t="s">
        <v>1845</v>
      </c>
      <c r="B34" t="s">
        <v>1585</v>
      </c>
      <c r="C34" s="2">
        <v>0.28503669999999998</v>
      </c>
    </row>
    <row r="35" spans="1:3">
      <c r="A35" s="1" t="s">
        <v>1846</v>
      </c>
      <c r="B35" t="s">
        <v>1586</v>
      </c>
      <c r="C35" s="2">
        <v>0.46593839999999997</v>
      </c>
    </row>
    <row r="36" spans="1:3">
      <c r="A36" s="1" t="s">
        <v>1847</v>
      </c>
      <c r="B36" t="s">
        <v>1587</v>
      </c>
      <c r="C36" s="2">
        <v>-0.4347589</v>
      </c>
    </row>
    <row r="37" spans="1:3">
      <c r="A37" s="1" t="s">
        <v>1848</v>
      </c>
      <c r="B37" t="s">
        <v>1588</v>
      </c>
      <c r="C37" s="2">
        <v>1.3023260000000001</v>
      </c>
    </row>
    <row r="38" spans="1:3">
      <c r="A38" s="1" t="s">
        <v>1849</v>
      </c>
      <c r="B38" t="s">
        <v>1589</v>
      </c>
      <c r="C38" s="2">
        <v>-1.2994429999999999</v>
      </c>
    </row>
    <row r="39" spans="1:3">
      <c r="A39" s="1" t="s">
        <v>1850</v>
      </c>
      <c r="B39" t="s">
        <v>1590</v>
      </c>
      <c r="C39" s="2">
        <v>2.3863499999999999E-2</v>
      </c>
    </row>
    <row r="40" spans="1:3">
      <c r="A40" s="1" t="s">
        <v>1851</v>
      </c>
      <c r="B40" t="s">
        <v>1591</v>
      </c>
      <c r="C40" s="2">
        <v>-0.22096060000000001</v>
      </c>
    </row>
    <row r="41" spans="1:3">
      <c r="A41" s="1" t="s">
        <v>1852</v>
      </c>
      <c r="B41" t="s">
        <v>1592</v>
      </c>
      <c r="C41" s="2">
        <v>1.7794920000000001</v>
      </c>
    </row>
    <row r="42" spans="1:3">
      <c r="A42" s="1" t="s">
        <v>1853</v>
      </c>
      <c r="B42" t="s">
        <v>1593</v>
      </c>
      <c r="C42" s="2">
        <v>-0.35745900000000003</v>
      </c>
    </row>
    <row r="43" spans="1:3">
      <c r="A43" s="1" t="s">
        <v>1854</v>
      </c>
      <c r="B43" t="s">
        <v>1594</v>
      </c>
      <c r="C43" s="2">
        <v>0.14978459999999999</v>
      </c>
    </row>
    <row r="44" spans="1:3">
      <c r="A44" s="1" t="s">
        <v>1855</v>
      </c>
      <c r="B44" t="s">
        <v>1595</v>
      </c>
      <c r="C44" s="2">
        <v>1.654264</v>
      </c>
    </row>
    <row r="45" spans="1:3">
      <c r="A45" s="1" t="s">
        <v>1856</v>
      </c>
      <c r="B45" t="s">
        <v>1596</v>
      </c>
      <c r="C45" s="2">
        <v>0.1916725</v>
      </c>
    </row>
    <row r="46" spans="1:3">
      <c r="A46" s="1" t="s">
        <v>1857</v>
      </c>
      <c r="B46" t="s">
        <v>1597</v>
      </c>
      <c r="C46" s="2">
        <v>-0.78351890000000002</v>
      </c>
    </row>
    <row r="47" spans="1:3">
      <c r="A47" s="1" t="s">
        <v>1858</v>
      </c>
      <c r="B47" t="s">
        <v>1598</v>
      </c>
      <c r="C47" s="2">
        <v>-0.5935317</v>
      </c>
    </row>
    <row r="48" spans="1:3">
      <c r="A48" s="1" t="s">
        <v>1859</v>
      </c>
      <c r="B48" t="s">
        <v>1599</v>
      </c>
      <c r="C48" s="2">
        <v>1.6257250000000001</v>
      </c>
    </row>
    <row r="49" spans="1:3">
      <c r="A49" s="1" t="s">
        <v>1860</v>
      </c>
      <c r="B49" t="s">
        <v>1600</v>
      </c>
      <c r="C49" s="2">
        <v>-0.59812759999999998</v>
      </c>
    </row>
    <row r="50" spans="1:3">
      <c r="A50" s="1" t="s">
        <v>1861</v>
      </c>
      <c r="B50" t="s">
        <v>1601</v>
      </c>
      <c r="C50" s="2">
        <v>-0.93071349999999997</v>
      </c>
    </row>
    <row r="51" spans="1:3">
      <c r="A51" s="1" t="s">
        <v>1862</v>
      </c>
      <c r="B51" t="s">
        <v>1602</v>
      </c>
      <c r="C51" s="2">
        <v>0.72090050000000006</v>
      </c>
    </row>
    <row r="52" spans="1:3">
      <c r="A52" s="1" t="s">
        <v>1863</v>
      </c>
      <c r="B52" t="s">
        <v>1603</v>
      </c>
      <c r="C52" s="2">
        <v>-0.52282740000000005</v>
      </c>
    </row>
    <row r="53" spans="1:3">
      <c r="A53" s="1" t="s">
        <v>1864</v>
      </c>
      <c r="B53" t="s">
        <v>1604</v>
      </c>
      <c r="C53" s="2">
        <v>0.68080280000000004</v>
      </c>
    </row>
    <row r="54" spans="1:3">
      <c r="A54" s="1" t="s">
        <v>1865</v>
      </c>
      <c r="B54" t="s">
        <v>1605</v>
      </c>
      <c r="C54" s="2">
        <v>1.8168979999999999</v>
      </c>
    </row>
    <row r="55" spans="1:3">
      <c r="A55" s="1" t="s">
        <v>1606</v>
      </c>
      <c r="B55" t="s">
        <v>1607</v>
      </c>
      <c r="C55" s="2">
        <v>-0.30492019999999997</v>
      </c>
    </row>
    <row r="56" spans="1:3">
      <c r="A56" s="1" t="s">
        <v>1866</v>
      </c>
      <c r="B56" t="s">
        <v>1608</v>
      </c>
      <c r="C56" s="2">
        <v>-1.9363900000000001</v>
      </c>
    </row>
    <row r="57" spans="1:3">
      <c r="A57" s="1" t="s">
        <v>1867</v>
      </c>
      <c r="B57" t="s">
        <v>1609</v>
      </c>
      <c r="C57" s="2">
        <v>-0.78755269999999999</v>
      </c>
    </row>
    <row r="58" spans="1:3">
      <c r="A58" s="1" t="s">
        <v>1868</v>
      </c>
      <c r="B58" t="s">
        <v>1610</v>
      </c>
      <c r="C58" s="2">
        <v>-1.5261720000000001</v>
      </c>
    </row>
    <row r="59" spans="1:3">
      <c r="A59" s="1" t="s">
        <v>1869</v>
      </c>
      <c r="B59" t="s">
        <v>1611</v>
      </c>
      <c r="C59" s="2">
        <v>-0.32342470000000001</v>
      </c>
    </row>
    <row r="60" spans="1:3">
      <c r="A60" s="1" t="s">
        <v>1870</v>
      </c>
      <c r="B60" t="s">
        <v>1612</v>
      </c>
      <c r="C60" s="2">
        <v>-0.9264848</v>
      </c>
    </row>
    <row r="61" spans="1:3">
      <c r="A61" s="1" t="s">
        <v>1871</v>
      </c>
      <c r="B61" t="s">
        <v>1613</v>
      </c>
      <c r="C61" s="2">
        <v>-1.1298029999999999</v>
      </c>
    </row>
    <row r="62" spans="1:3">
      <c r="A62" s="1" t="s">
        <v>1872</v>
      </c>
      <c r="B62" t="s">
        <v>1614</v>
      </c>
      <c r="C62" s="2">
        <v>-1.1831510000000001</v>
      </c>
    </row>
    <row r="63" spans="1:3">
      <c r="A63" s="1" t="s">
        <v>1873</v>
      </c>
      <c r="B63" t="s">
        <v>1615</v>
      </c>
      <c r="C63" s="2">
        <v>-0.7666731</v>
      </c>
    </row>
    <row r="64" spans="1:3">
      <c r="A64" s="1" t="s">
        <v>1874</v>
      </c>
      <c r="B64" t="s">
        <v>1616</v>
      </c>
      <c r="C64" s="2">
        <v>-0.57212589999999997</v>
      </c>
    </row>
    <row r="65" spans="1:3">
      <c r="A65" s="1" t="s">
        <v>1875</v>
      </c>
      <c r="B65" t="s">
        <v>1617</v>
      </c>
      <c r="C65" s="2">
        <v>0.29524699999999998</v>
      </c>
    </row>
    <row r="66" spans="1:3">
      <c r="A66" s="1" t="s">
        <v>1876</v>
      </c>
      <c r="B66" t="s">
        <v>1618</v>
      </c>
      <c r="C66" s="2">
        <v>1.0072479999999999</v>
      </c>
    </row>
    <row r="67" spans="1:3">
      <c r="A67" s="1" t="s">
        <v>1877</v>
      </c>
      <c r="B67" t="s">
        <v>1619</v>
      </c>
      <c r="C67" s="2">
        <v>-0.1698289</v>
      </c>
    </row>
    <row r="68" spans="1:3">
      <c r="A68" s="1" t="s">
        <v>1878</v>
      </c>
      <c r="B68" t="s">
        <v>1620</v>
      </c>
      <c r="C68" s="2">
        <v>1.962175</v>
      </c>
    </row>
    <row r="69" spans="1:3">
      <c r="A69" s="1" t="s">
        <v>1879</v>
      </c>
      <c r="B69" t="s">
        <v>1621</v>
      </c>
      <c r="C69" s="2">
        <v>-6.85389E-2</v>
      </c>
    </row>
    <row r="70" spans="1:3">
      <c r="A70" s="1" t="s">
        <v>1880</v>
      </c>
      <c r="B70" t="s">
        <v>1622</v>
      </c>
      <c r="C70" s="2">
        <v>-8.6145000000000006E-3</v>
      </c>
    </row>
    <row r="71" spans="1:3">
      <c r="A71" s="1" t="s">
        <v>1881</v>
      </c>
      <c r="B71" t="s">
        <v>1623</v>
      </c>
      <c r="C71" s="2">
        <v>1.8807400000000001</v>
      </c>
    </row>
    <row r="72" spans="1:3">
      <c r="A72" s="1" t="s">
        <v>1882</v>
      </c>
      <c r="B72" t="s">
        <v>1624</v>
      </c>
      <c r="C72" s="2">
        <v>-1.120887</v>
      </c>
    </row>
    <row r="73" spans="1:3">
      <c r="A73" s="1" t="s">
        <v>1883</v>
      </c>
      <c r="B73" t="s">
        <v>1625</v>
      </c>
      <c r="C73" s="2">
        <v>-0.72636590000000001</v>
      </c>
    </row>
    <row r="74" spans="1:3">
      <c r="A74" s="1" t="s">
        <v>1884</v>
      </c>
      <c r="B74" t="s">
        <v>1626</v>
      </c>
      <c r="C74" s="2">
        <v>1.778761</v>
      </c>
    </row>
    <row r="75" spans="1:3">
      <c r="A75" s="1" t="s">
        <v>1885</v>
      </c>
      <c r="B75" t="s">
        <v>1627</v>
      </c>
      <c r="C75" s="2">
        <v>-0.3630448</v>
      </c>
    </row>
    <row r="76" spans="1:3">
      <c r="A76" s="1" t="s">
        <v>1886</v>
      </c>
      <c r="B76" t="s">
        <v>1628</v>
      </c>
      <c r="C76" s="2">
        <v>2.0512830000000002</v>
      </c>
    </row>
    <row r="77" spans="1:3">
      <c r="A77" s="1" t="s">
        <v>1887</v>
      </c>
      <c r="B77" t="s">
        <v>1629</v>
      </c>
      <c r="C77" s="2">
        <v>0.55409310000000001</v>
      </c>
    </row>
    <row r="78" spans="1:3">
      <c r="A78" s="1" t="s">
        <v>1888</v>
      </c>
      <c r="B78" t="s">
        <v>1630</v>
      </c>
      <c r="C78" s="2">
        <v>-0.361676</v>
      </c>
    </row>
    <row r="79" spans="1:3">
      <c r="A79" s="1" t="s">
        <v>1889</v>
      </c>
      <c r="B79" t="s">
        <v>1631</v>
      </c>
      <c r="C79" s="2">
        <v>-0.71610989999999997</v>
      </c>
    </row>
    <row r="80" spans="1:3">
      <c r="A80" s="1" t="s">
        <v>1632</v>
      </c>
      <c r="B80" t="s">
        <v>1633</v>
      </c>
      <c r="C80" s="2">
        <v>2.6369199999999999E-2</v>
      </c>
    </row>
    <row r="81" spans="1:3">
      <c r="A81" s="1" t="s">
        <v>1890</v>
      </c>
      <c r="B81" t="s">
        <v>1634</v>
      </c>
      <c r="C81" s="2">
        <v>0.4520053</v>
      </c>
    </row>
    <row r="82" spans="1:3">
      <c r="A82" s="1" t="s">
        <v>1891</v>
      </c>
      <c r="B82" t="s">
        <v>1635</v>
      </c>
      <c r="C82" s="2">
        <v>0.87793200000000005</v>
      </c>
    </row>
    <row r="83" spans="1:3">
      <c r="A83" s="1" t="s">
        <v>1892</v>
      </c>
      <c r="B83" t="s">
        <v>1636</v>
      </c>
      <c r="C83" s="2">
        <v>1.3128420000000001</v>
      </c>
    </row>
    <row r="84" spans="1:3">
      <c r="A84" s="1" t="s">
        <v>1893</v>
      </c>
      <c r="B84" t="s">
        <v>1637</v>
      </c>
      <c r="C84" s="2">
        <v>-1.1705909999999999</v>
      </c>
    </row>
    <row r="85" spans="1:3">
      <c r="A85" s="1" t="s">
        <v>1894</v>
      </c>
      <c r="B85" t="s">
        <v>1638</v>
      </c>
      <c r="C85" s="2">
        <v>-0.89436879999999996</v>
      </c>
    </row>
    <row r="86" spans="1:3">
      <c r="A86" s="1" t="s">
        <v>1895</v>
      </c>
      <c r="B86" t="s">
        <v>1639</v>
      </c>
      <c r="C86" s="2">
        <v>1.7195959999999999</v>
      </c>
    </row>
    <row r="87" spans="1:3">
      <c r="A87" s="1" t="s">
        <v>1896</v>
      </c>
      <c r="B87" t="s">
        <v>1640</v>
      </c>
      <c r="C87" s="2">
        <v>1.040829</v>
      </c>
    </row>
    <row r="88" spans="1:3">
      <c r="A88" s="1" t="s">
        <v>1897</v>
      </c>
      <c r="B88" t="s">
        <v>1641</v>
      </c>
      <c r="C88" s="2">
        <v>1.2661089999999999</v>
      </c>
    </row>
    <row r="89" spans="1:3">
      <c r="A89" s="1" t="s">
        <v>1898</v>
      </c>
      <c r="B89" t="s">
        <v>1642</v>
      </c>
      <c r="C89" s="2">
        <v>-1.2701089999999999</v>
      </c>
    </row>
    <row r="90" spans="1:3">
      <c r="A90" s="1" t="s">
        <v>1899</v>
      </c>
      <c r="B90" t="s">
        <v>1643</v>
      </c>
      <c r="C90" s="2">
        <v>-5.93705E-2</v>
      </c>
    </row>
    <row r="91" spans="1:3">
      <c r="A91" s="1" t="s">
        <v>1900</v>
      </c>
      <c r="B91" t="s">
        <v>1644</v>
      </c>
      <c r="C91" s="2">
        <v>1.3894999999999999E-2</v>
      </c>
    </row>
    <row r="92" spans="1:3">
      <c r="A92" s="1" t="s">
        <v>1901</v>
      </c>
      <c r="B92" t="s">
        <v>1645</v>
      </c>
      <c r="C92" s="2">
        <v>1.029444</v>
      </c>
    </row>
    <row r="93" spans="1:3">
      <c r="A93" s="1" t="s">
        <v>1902</v>
      </c>
      <c r="B93" t="s">
        <v>1646</v>
      </c>
      <c r="C93" s="2">
        <v>0.66201279999999996</v>
      </c>
    </row>
    <row r="94" spans="1:3">
      <c r="A94" s="1" t="s">
        <v>1903</v>
      </c>
      <c r="B94" t="s">
        <v>1647</v>
      </c>
      <c r="C94" s="2">
        <v>1.7508889999999999</v>
      </c>
    </row>
    <row r="95" spans="1:3">
      <c r="A95" s="1" t="s">
        <v>1904</v>
      </c>
      <c r="B95" t="s">
        <v>1648</v>
      </c>
      <c r="C95" s="2">
        <v>5.59563E-2</v>
      </c>
    </row>
    <row r="96" spans="1:3">
      <c r="A96" s="1" t="s">
        <v>1905</v>
      </c>
      <c r="B96" t="s">
        <v>1649</v>
      </c>
      <c r="C96" s="2">
        <v>0.41308899999999998</v>
      </c>
    </row>
    <row r="97" spans="1:3">
      <c r="A97" s="1" t="s">
        <v>1906</v>
      </c>
      <c r="B97" t="s">
        <v>1650</v>
      </c>
      <c r="C97" s="2">
        <v>0.4941004</v>
      </c>
    </row>
    <row r="98" spans="1:3">
      <c r="A98" s="1" t="s">
        <v>1907</v>
      </c>
      <c r="B98" t="s">
        <v>1651</v>
      </c>
      <c r="C98" s="2">
        <v>-1.499142</v>
      </c>
    </row>
    <row r="99" spans="1:3">
      <c r="A99" s="1" t="s">
        <v>1908</v>
      </c>
      <c r="B99" t="s">
        <v>1652</v>
      </c>
      <c r="C99" s="2">
        <v>-0.91146400000000005</v>
      </c>
    </row>
    <row r="100" spans="1:3">
      <c r="A100" s="1" t="s">
        <v>1909</v>
      </c>
      <c r="B100" t="s">
        <v>1653</v>
      </c>
      <c r="C100" s="2">
        <v>-0.24731649999999999</v>
      </c>
    </row>
    <row r="101" spans="1:3">
      <c r="A101" s="1" t="s">
        <v>1910</v>
      </c>
      <c r="B101" t="s">
        <v>1654</v>
      </c>
      <c r="C101" s="2">
        <v>-1.117275</v>
      </c>
    </row>
    <row r="102" spans="1:3">
      <c r="A102" s="1" t="s">
        <v>1911</v>
      </c>
      <c r="B102" t="s">
        <v>1655</v>
      </c>
      <c r="C102" s="2">
        <v>1.870846</v>
      </c>
    </row>
    <row r="103" spans="1:3">
      <c r="A103" s="1" t="s">
        <v>1912</v>
      </c>
      <c r="B103" t="s">
        <v>1656</v>
      </c>
      <c r="C103" s="2">
        <v>2.1989299999999998</v>
      </c>
    </row>
    <row r="104" spans="1:3">
      <c r="A104" s="1" t="s">
        <v>1913</v>
      </c>
      <c r="B104" t="s">
        <v>1657</v>
      </c>
      <c r="C104" s="2">
        <v>1.011622</v>
      </c>
    </row>
    <row r="105" spans="1:3">
      <c r="A105" s="1" t="s">
        <v>1914</v>
      </c>
      <c r="B105" t="s">
        <v>1658</v>
      </c>
      <c r="C105" s="2">
        <v>-0.72966799999999998</v>
      </c>
    </row>
    <row r="106" spans="1:3">
      <c r="A106" s="1" t="s">
        <v>1915</v>
      </c>
      <c r="B106" t="s">
        <v>1659</v>
      </c>
      <c r="C106" s="2">
        <v>0.99766080000000001</v>
      </c>
    </row>
    <row r="107" spans="1:3">
      <c r="A107" s="1" t="s">
        <v>1916</v>
      </c>
      <c r="B107" t="s">
        <v>1660</v>
      </c>
      <c r="C107" s="2">
        <v>-4.1786900000000002E-2</v>
      </c>
    </row>
    <row r="108" spans="1:3">
      <c r="A108" s="1" t="s">
        <v>1661</v>
      </c>
      <c r="B108" t="s">
        <v>1662</v>
      </c>
      <c r="C108" s="2">
        <v>-0.62485710000000005</v>
      </c>
    </row>
    <row r="109" spans="1:3">
      <c r="A109" s="1" t="s">
        <v>1663</v>
      </c>
      <c r="B109" t="s">
        <v>1664</v>
      </c>
      <c r="C109" s="2">
        <v>0.27974199999999999</v>
      </c>
    </row>
    <row r="110" spans="1:3">
      <c r="A110" s="1" t="s">
        <v>1917</v>
      </c>
      <c r="B110" t="s">
        <v>1665</v>
      </c>
      <c r="C110" s="2">
        <v>-0.87941800000000003</v>
      </c>
    </row>
    <row r="111" spans="1:3">
      <c r="A111" s="1" t="s">
        <v>1918</v>
      </c>
      <c r="B111" t="s">
        <v>1666</v>
      </c>
      <c r="C111" s="2">
        <v>0.79599819999999999</v>
      </c>
    </row>
    <row r="112" spans="1:3">
      <c r="A112" s="1" t="s">
        <v>1919</v>
      </c>
      <c r="B112" t="s">
        <v>1667</v>
      </c>
      <c r="C112" s="2">
        <v>-0.72987250000000004</v>
      </c>
    </row>
    <row r="113" spans="1:3">
      <c r="A113" s="1" t="s">
        <v>1920</v>
      </c>
      <c r="B113" t="s">
        <v>1668</v>
      </c>
      <c r="C113" s="2">
        <v>0.2732446</v>
      </c>
    </row>
    <row r="114" spans="1:3">
      <c r="A114" s="1" t="s">
        <v>1921</v>
      </c>
      <c r="B114" t="s">
        <v>1669</v>
      </c>
      <c r="C114" s="2">
        <v>0.4488801</v>
      </c>
    </row>
    <row r="115" spans="1:3">
      <c r="A115" s="1" t="s">
        <v>1670</v>
      </c>
      <c r="B115" t="s">
        <v>1671</v>
      </c>
      <c r="C115" s="2">
        <v>-0.187831</v>
      </c>
    </row>
    <row r="116" spans="1:3">
      <c r="A116" s="1" t="s">
        <v>1922</v>
      </c>
      <c r="B116" t="s">
        <v>1672</v>
      </c>
      <c r="C116" s="2">
        <v>-1.44051</v>
      </c>
    </row>
    <row r="117" spans="1:3">
      <c r="A117" s="1" t="s">
        <v>1923</v>
      </c>
      <c r="B117" t="s">
        <v>1673</v>
      </c>
      <c r="C117" s="2">
        <v>-0.74293620000000005</v>
      </c>
    </row>
    <row r="118" spans="1:3">
      <c r="A118" s="1" t="s">
        <v>1674</v>
      </c>
      <c r="B118" t="s">
        <v>1675</v>
      </c>
      <c r="C118" s="2">
        <v>-1.048481</v>
      </c>
    </row>
    <row r="119" spans="1:3">
      <c r="A119" s="1" t="s">
        <v>1924</v>
      </c>
      <c r="B119" t="s">
        <v>1676</v>
      </c>
      <c r="C119" s="2">
        <v>-3.9398999999999997E-3</v>
      </c>
    </row>
    <row r="120" spans="1:3">
      <c r="A120" s="1" t="s">
        <v>1925</v>
      </c>
      <c r="B120" t="s">
        <v>1677</v>
      </c>
      <c r="C120" s="2">
        <v>-1.430758</v>
      </c>
    </row>
    <row r="121" spans="1:3">
      <c r="A121" s="1" t="s">
        <v>1926</v>
      </c>
      <c r="B121" t="s">
        <v>1678</v>
      </c>
      <c r="C121" s="2">
        <v>-0.94226189999999999</v>
      </c>
    </row>
    <row r="122" spans="1:3">
      <c r="A122" s="1" t="s">
        <v>1679</v>
      </c>
      <c r="B122" t="s">
        <v>1680</v>
      </c>
      <c r="C122" s="2">
        <v>-0.27086650000000001</v>
      </c>
    </row>
    <row r="123" spans="1:3">
      <c r="A123" s="1" t="s">
        <v>1927</v>
      </c>
      <c r="B123" t="s">
        <v>1681</v>
      </c>
      <c r="C123" s="2">
        <v>-1.1035779999999999</v>
      </c>
    </row>
    <row r="124" spans="1:3">
      <c r="A124" s="1" t="s">
        <v>1928</v>
      </c>
      <c r="B124" t="s">
        <v>1682</v>
      </c>
      <c r="C124" s="2">
        <v>1.0370760000000001</v>
      </c>
    </row>
    <row r="125" spans="1:3">
      <c r="A125" s="1" t="s">
        <v>1683</v>
      </c>
      <c r="B125" t="s">
        <v>1684</v>
      </c>
      <c r="C125" s="2">
        <v>1.801161</v>
      </c>
    </row>
    <row r="126" spans="1:3">
      <c r="A126" s="1" t="s">
        <v>1929</v>
      </c>
      <c r="B126" t="s">
        <v>1685</v>
      </c>
      <c r="C126" s="2">
        <v>-0.38403350000000003</v>
      </c>
    </row>
    <row r="127" spans="1:3">
      <c r="A127" s="1" t="s">
        <v>1930</v>
      </c>
      <c r="B127" t="s">
        <v>1686</v>
      </c>
      <c r="C127" s="2">
        <v>0.92293159999999996</v>
      </c>
    </row>
    <row r="128" spans="1:3">
      <c r="A128" s="1" t="s">
        <v>1931</v>
      </c>
      <c r="B128" t="s">
        <v>1687</v>
      </c>
      <c r="C128" s="2">
        <v>2.1048399999999998</v>
      </c>
    </row>
    <row r="129" spans="1:3">
      <c r="A129" s="1" t="s">
        <v>1688</v>
      </c>
      <c r="B129" t="s">
        <v>1689</v>
      </c>
      <c r="C129" s="2">
        <v>-0.8475876</v>
      </c>
    </row>
    <row r="130" spans="1:3">
      <c r="A130" s="1" t="s">
        <v>1932</v>
      </c>
      <c r="B130" t="s">
        <v>1690</v>
      </c>
      <c r="C130" s="2">
        <v>-0.80380410000000002</v>
      </c>
    </row>
    <row r="131" spans="1:3">
      <c r="A131" s="1" t="s">
        <v>1933</v>
      </c>
      <c r="B131" t="s">
        <v>1691</v>
      </c>
      <c r="C131" s="2">
        <v>0.59808300000000003</v>
      </c>
    </row>
    <row r="132" spans="1:3">
      <c r="A132" s="1" t="s">
        <v>1934</v>
      </c>
      <c r="B132" t="s">
        <v>1692</v>
      </c>
      <c r="C132" s="2">
        <v>4.99917E-2</v>
      </c>
    </row>
    <row r="133" spans="1:3">
      <c r="A133" s="1" t="s">
        <v>1935</v>
      </c>
      <c r="B133" t="s">
        <v>1693</v>
      </c>
      <c r="C133" s="2">
        <v>-1.1620779999999999</v>
      </c>
    </row>
    <row r="134" spans="1:3">
      <c r="A134" s="1" t="s">
        <v>1936</v>
      </c>
      <c r="B134" t="s">
        <v>1694</v>
      </c>
      <c r="C134" s="2">
        <v>-1.219409</v>
      </c>
    </row>
    <row r="135" spans="1:3">
      <c r="A135" s="1" t="s">
        <v>1937</v>
      </c>
      <c r="B135" t="s">
        <v>1695</v>
      </c>
      <c r="C135" s="2">
        <v>1.7029669999999999</v>
      </c>
    </row>
    <row r="136" spans="1:3">
      <c r="A136" s="1" t="s">
        <v>1938</v>
      </c>
      <c r="B136" t="s">
        <v>1696</v>
      </c>
      <c r="C136" s="2">
        <v>-0.13369220000000001</v>
      </c>
    </row>
    <row r="137" spans="1:3">
      <c r="A137" s="1" t="s">
        <v>1939</v>
      </c>
      <c r="B137" t="s">
        <v>1697</v>
      </c>
      <c r="C137" s="2">
        <v>-0.80007870000000003</v>
      </c>
    </row>
    <row r="138" spans="1:3">
      <c r="A138" s="1" t="s">
        <v>1940</v>
      </c>
      <c r="B138" t="s">
        <v>1698</v>
      </c>
      <c r="C138" s="2">
        <v>-0.82124330000000001</v>
      </c>
    </row>
    <row r="139" spans="1:3">
      <c r="A139" s="1" t="s">
        <v>1941</v>
      </c>
      <c r="B139" t="s">
        <v>1699</v>
      </c>
      <c r="C139" s="2">
        <v>-0.87146959999999996</v>
      </c>
    </row>
    <row r="140" spans="1:3">
      <c r="A140" s="1" t="s">
        <v>1942</v>
      </c>
      <c r="B140" t="s">
        <v>1700</v>
      </c>
      <c r="C140" s="2">
        <v>-0.52852710000000003</v>
      </c>
    </row>
    <row r="141" spans="1:3">
      <c r="A141" s="1" t="s">
        <v>1943</v>
      </c>
      <c r="B141" t="s">
        <v>1701</v>
      </c>
      <c r="C141" s="2">
        <v>1.405602</v>
      </c>
    </row>
    <row r="142" spans="1:3">
      <c r="A142" s="1" t="s">
        <v>1944</v>
      </c>
      <c r="B142" t="s">
        <v>1702</v>
      </c>
      <c r="C142" s="2">
        <v>0.30936599999999997</v>
      </c>
    </row>
    <row r="143" spans="1:3">
      <c r="A143" s="1" t="s">
        <v>1945</v>
      </c>
      <c r="B143" t="s">
        <v>1703</v>
      </c>
      <c r="C143" s="2">
        <v>1.281933</v>
      </c>
    </row>
    <row r="144" spans="1:3">
      <c r="A144" s="1" t="s">
        <v>1704</v>
      </c>
      <c r="B144" t="s">
        <v>1705</v>
      </c>
      <c r="C144" s="2">
        <v>0.45786130000000003</v>
      </c>
    </row>
    <row r="145" spans="1:3">
      <c r="A145" s="1" t="s">
        <v>1946</v>
      </c>
      <c r="B145" t="s">
        <v>1706</v>
      </c>
      <c r="C145" s="2">
        <v>1.3031759999999999</v>
      </c>
    </row>
    <row r="146" spans="1:3">
      <c r="A146" s="1" t="s">
        <v>1947</v>
      </c>
      <c r="B146" t="s">
        <v>1707</v>
      </c>
      <c r="C146" s="2">
        <v>0.1626688</v>
      </c>
    </row>
    <row r="147" spans="1:3">
      <c r="A147" s="1" t="s">
        <v>1948</v>
      </c>
      <c r="B147" t="s">
        <v>1708</v>
      </c>
      <c r="C147" s="2">
        <v>0.51923799999999998</v>
      </c>
    </row>
    <row r="148" spans="1:3">
      <c r="A148" s="1" t="s">
        <v>1949</v>
      </c>
      <c r="B148" t="s">
        <v>1709</v>
      </c>
      <c r="C148" s="2">
        <v>-0.89462120000000001</v>
      </c>
    </row>
    <row r="149" spans="1:3">
      <c r="A149" s="1" t="s">
        <v>1950</v>
      </c>
      <c r="B149" t="s">
        <v>1710</v>
      </c>
      <c r="C149" s="2">
        <v>-1.5150349999999999</v>
      </c>
    </row>
    <row r="150" spans="1:3">
      <c r="A150" s="1" t="s">
        <v>1951</v>
      </c>
      <c r="B150" t="s">
        <v>1711</v>
      </c>
      <c r="C150" s="2">
        <v>-1.6213869999999999</v>
      </c>
    </row>
    <row r="151" spans="1:3">
      <c r="A151" s="1" t="s">
        <v>1952</v>
      </c>
      <c r="B151" t="s">
        <v>1712</v>
      </c>
      <c r="C151" s="2">
        <v>-1.0850409999999999</v>
      </c>
    </row>
    <row r="152" spans="1:3">
      <c r="A152" s="1" t="s">
        <v>1953</v>
      </c>
      <c r="B152" t="s">
        <v>1713</v>
      </c>
      <c r="C152" s="2">
        <v>4.7196399999999999E-2</v>
      </c>
    </row>
    <row r="153" spans="1:3">
      <c r="A153" s="1" t="s">
        <v>1954</v>
      </c>
      <c r="B153" t="s">
        <v>1714</v>
      </c>
      <c r="C153" s="2">
        <v>-1.16696</v>
      </c>
    </row>
    <row r="154" spans="1:3">
      <c r="A154" s="1" t="s">
        <v>1955</v>
      </c>
      <c r="B154" t="s">
        <v>1715</v>
      </c>
      <c r="C154" s="2">
        <v>0.17244860000000001</v>
      </c>
    </row>
    <row r="155" spans="1:3">
      <c r="A155" s="1" t="s">
        <v>1956</v>
      </c>
      <c r="B155" t="s">
        <v>1716</v>
      </c>
      <c r="C155" s="2">
        <v>1.2700299999999999E-2</v>
      </c>
    </row>
    <row r="156" spans="1:3">
      <c r="A156" s="1" t="s">
        <v>1957</v>
      </c>
      <c r="B156" t="s">
        <v>1717</v>
      </c>
      <c r="C156" s="2">
        <v>1.066006</v>
      </c>
    </row>
    <row r="157" spans="1:3">
      <c r="A157" s="1" t="s">
        <v>1958</v>
      </c>
      <c r="B157" t="s">
        <v>1718</v>
      </c>
      <c r="C157" s="2">
        <v>0.6763131</v>
      </c>
    </row>
    <row r="158" spans="1:3">
      <c r="A158" s="1" t="s">
        <v>1959</v>
      </c>
      <c r="B158" t="s">
        <v>1719</v>
      </c>
      <c r="C158" s="2">
        <v>-0.84771260000000004</v>
      </c>
    </row>
    <row r="159" spans="1:3">
      <c r="A159" s="1" t="s">
        <v>1960</v>
      </c>
      <c r="B159" t="s">
        <v>1720</v>
      </c>
      <c r="C159" s="2">
        <v>-0.26956950000000002</v>
      </c>
    </row>
    <row r="160" spans="1:3">
      <c r="A160" s="1" t="s">
        <v>1961</v>
      </c>
      <c r="B160" t="s">
        <v>1721</v>
      </c>
      <c r="C160" s="2">
        <v>-1.5392349999999999</v>
      </c>
    </row>
    <row r="161" spans="1:3">
      <c r="A161" s="1" t="s">
        <v>1962</v>
      </c>
      <c r="B161" t="s">
        <v>1722</v>
      </c>
      <c r="C161" s="2">
        <v>-0.41635830000000001</v>
      </c>
    </row>
    <row r="162" spans="1:3">
      <c r="A162" s="1" t="s">
        <v>1963</v>
      </c>
      <c r="B162" t="s">
        <v>1723</v>
      </c>
      <c r="C162" s="2">
        <v>-0.68650889999999998</v>
      </c>
    </row>
    <row r="163" spans="1:3">
      <c r="A163" s="1" t="s">
        <v>1964</v>
      </c>
      <c r="B163" t="s">
        <v>1724</v>
      </c>
      <c r="C163" s="2">
        <v>-1.211077</v>
      </c>
    </row>
    <row r="164" spans="1:3">
      <c r="A164" s="1" t="s">
        <v>1965</v>
      </c>
      <c r="B164" t="s">
        <v>1725</v>
      </c>
      <c r="C164" s="2">
        <v>1.976356</v>
      </c>
    </row>
    <row r="165" spans="1:3">
      <c r="A165" s="1" t="s">
        <v>1966</v>
      </c>
      <c r="B165" t="s">
        <v>1726</v>
      </c>
      <c r="C165" s="2">
        <v>0.52251300000000001</v>
      </c>
    </row>
    <row r="166" spans="1:3">
      <c r="A166" s="1" t="s">
        <v>1967</v>
      </c>
      <c r="B166" t="s">
        <v>1727</v>
      </c>
      <c r="C166" s="2">
        <v>0.99591850000000004</v>
      </c>
    </row>
    <row r="167" spans="1:3">
      <c r="A167" s="1" t="s">
        <v>1968</v>
      </c>
      <c r="B167" t="s">
        <v>1728</v>
      </c>
      <c r="C167" s="2">
        <v>-0.22947909999999999</v>
      </c>
    </row>
    <row r="168" spans="1:3">
      <c r="A168" s="1" t="s">
        <v>1969</v>
      </c>
      <c r="B168" t="s">
        <v>1729</v>
      </c>
      <c r="C168" s="2">
        <v>0.4803347</v>
      </c>
    </row>
    <row r="169" spans="1:3">
      <c r="A169" s="1" t="s">
        <v>1970</v>
      </c>
      <c r="B169" t="s">
        <v>1730</v>
      </c>
      <c r="C169" s="2">
        <v>1.6739379999999999</v>
      </c>
    </row>
    <row r="170" spans="1:3">
      <c r="A170" s="1" t="s">
        <v>1971</v>
      </c>
      <c r="B170" t="s">
        <v>1731</v>
      </c>
      <c r="C170" s="2">
        <v>-1.3620890000000001</v>
      </c>
    </row>
    <row r="171" spans="1:3">
      <c r="A171" s="1" t="s">
        <v>1972</v>
      </c>
      <c r="B171" t="s">
        <v>1732</v>
      </c>
      <c r="C171" s="2">
        <v>0.87978040000000002</v>
      </c>
    </row>
    <row r="172" spans="1:3">
      <c r="A172" s="1" t="s">
        <v>1973</v>
      </c>
      <c r="B172" t="s">
        <v>1733</v>
      </c>
      <c r="C172" s="2">
        <v>0.40434179999999997</v>
      </c>
    </row>
    <row r="173" spans="1:3">
      <c r="A173" s="1" t="s">
        <v>1974</v>
      </c>
      <c r="B173" t="s">
        <v>1734</v>
      </c>
      <c r="C173" s="2">
        <v>1.402145</v>
      </c>
    </row>
    <row r="174" spans="1:3">
      <c r="A174" s="1" t="s">
        <v>1975</v>
      </c>
      <c r="B174" t="s">
        <v>1735</v>
      </c>
      <c r="C174" s="2">
        <v>-0.196189</v>
      </c>
    </row>
    <row r="175" spans="1:3">
      <c r="A175" s="1" t="s">
        <v>1976</v>
      </c>
      <c r="B175" t="s">
        <v>1736</v>
      </c>
      <c r="C175" s="2">
        <v>-1.612025</v>
      </c>
    </row>
    <row r="176" spans="1:3">
      <c r="A176" s="1" t="s">
        <v>1977</v>
      </c>
      <c r="B176" t="s">
        <v>1737</v>
      </c>
      <c r="C176" s="2">
        <v>0.66963249999999996</v>
      </c>
    </row>
    <row r="177" spans="1:3">
      <c r="A177" s="1" t="s">
        <v>1978</v>
      </c>
      <c r="B177" t="s">
        <v>1738</v>
      </c>
      <c r="C177" s="2">
        <v>0.87345260000000002</v>
      </c>
    </row>
    <row r="178" spans="1:3">
      <c r="A178" s="1" t="s">
        <v>1979</v>
      </c>
      <c r="B178" t="s">
        <v>1739</v>
      </c>
      <c r="C178" s="2">
        <v>1.0308569999999999</v>
      </c>
    </row>
    <row r="179" spans="1:3">
      <c r="A179" s="1" t="s">
        <v>1980</v>
      </c>
      <c r="B179" t="s">
        <v>1740</v>
      </c>
      <c r="C179" s="2">
        <v>-0.4568835</v>
      </c>
    </row>
    <row r="180" spans="1:3">
      <c r="A180" s="1" t="s">
        <v>1981</v>
      </c>
      <c r="B180" t="s">
        <v>1741</v>
      </c>
      <c r="C180" s="2">
        <v>-1.449808</v>
      </c>
    </row>
    <row r="181" spans="1:3">
      <c r="A181" s="1" t="s">
        <v>1982</v>
      </c>
      <c r="B181" t="s">
        <v>1742</v>
      </c>
      <c r="C181" s="2">
        <v>-1.3922680000000001</v>
      </c>
    </row>
    <row r="182" spans="1:3">
      <c r="A182" s="1" t="s">
        <v>1983</v>
      </c>
      <c r="B182" t="s">
        <v>1743</v>
      </c>
      <c r="C182" s="2">
        <v>-1.218836</v>
      </c>
    </row>
    <row r="183" spans="1:3">
      <c r="A183" s="1" t="s">
        <v>1984</v>
      </c>
      <c r="B183" t="s">
        <v>1744</v>
      </c>
      <c r="C183" s="2">
        <v>-7.3096800000000003E-2</v>
      </c>
    </row>
    <row r="184" spans="1:3">
      <c r="A184" s="1" t="s">
        <v>1985</v>
      </c>
      <c r="B184" t="s">
        <v>1745</v>
      </c>
      <c r="C184" s="2">
        <v>1.0952249999999999</v>
      </c>
    </row>
    <row r="185" spans="1:3">
      <c r="A185" s="1" t="s">
        <v>1986</v>
      </c>
      <c r="B185" t="s">
        <v>1746</v>
      </c>
      <c r="C185" s="2">
        <v>-0.86050749999999998</v>
      </c>
    </row>
    <row r="186" spans="1:3">
      <c r="A186" s="1" t="s">
        <v>1987</v>
      </c>
      <c r="B186" t="s">
        <v>1747</v>
      </c>
      <c r="C186" s="2">
        <v>-1.1140939999999999</v>
      </c>
    </row>
    <row r="187" spans="1:3">
      <c r="A187" s="1" t="s">
        <v>1988</v>
      </c>
      <c r="B187" t="s">
        <v>1748</v>
      </c>
      <c r="C187" s="2">
        <v>-0.99594550000000004</v>
      </c>
    </row>
    <row r="188" spans="1:3">
      <c r="A188" s="1" t="s">
        <v>1989</v>
      </c>
      <c r="B188" t="s">
        <v>1749</v>
      </c>
      <c r="C188" s="2">
        <v>1.907619</v>
      </c>
    </row>
    <row r="189" spans="1:3">
      <c r="A189" s="1" t="s">
        <v>1990</v>
      </c>
      <c r="B189" t="s">
        <v>1750</v>
      </c>
      <c r="C189" s="2">
        <v>-1.026607</v>
      </c>
    </row>
    <row r="190" spans="1:3">
      <c r="A190" s="1" t="s">
        <v>1991</v>
      </c>
      <c r="B190" t="s">
        <v>1751</v>
      </c>
      <c r="C190" s="2">
        <v>0.89950699999999995</v>
      </c>
    </row>
    <row r="191" spans="1:3">
      <c r="A191" s="1" t="s">
        <v>1752</v>
      </c>
      <c r="B191" t="s">
        <v>1753</v>
      </c>
      <c r="C191" s="2">
        <v>-0.2270722</v>
      </c>
    </row>
    <row r="192" spans="1:3">
      <c r="A192" s="1" t="s">
        <v>1992</v>
      </c>
      <c r="B192" t="s">
        <v>1754</v>
      </c>
      <c r="C192" s="2">
        <v>1.3977109999999999</v>
      </c>
    </row>
    <row r="193" spans="1:3">
      <c r="A193" s="1" t="s">
        <v>1993</v>
      </c>
      <c r="B193" t="s">
        <v>1755</v>
      </c>
      <c r="C193" s="2">
        <v>-1.3840300000000001</v>
      </c>
    </row>
    <row r="194" spans="1:3">
      <c r="A194" s="1" t="s">
        <v>1994</v>
      </c>
      <c r="B194" t="s">
        <v>1756</v>
      </c>
      <c r="C194" s="2">
        <v>-0.58917730000000001</v>
      </c>
    </row>
    <row r="195" spans="1:3">
      <c r="A195" s="1" t="s">
        <v>1995</v>
      </c>
      <c r="B195" t="s">
        <v>1757</v>
      </c>
      <c r="C195" s="2">
        <v>-0.50419360000000002</v>
      </c>
    </row>
    <row r="196" spans="1:3">
      <c r="A196" s="1" t="s">
        <v>1996</v>
      </c>
      <c r="B196" t="s">
        <v>1758</v>
      </c>
      <c r="C196" s="2">
        <v>-1.134565</v>
      </c>
    </row>
    <row r="197" spans="1:3">
      <c r="A197" s="1" t="s">
        <v>1997</v>
      </c>
      <c r="B197" t="s">
        <v>1759</v>
      </c>
      <c r="C197" s="2">
        <v>0.65384969999999998</v>
      </c>
    </row>
    <row r="198" spans="1:3">
      <c r="A198" s="1" t="s">
        <v>1998</v>
      </c>
      <c r="B198" t="s">
        <v>1760</v>
      </c>
      <c r="C198" s="2">
        <v>-0.74282669999999995</v>
      </c>
    </row>
    <row r="199" spans="1:3">
      <c r="A199" s="1" t="s">
        <v>1999</v>
      </c>
      <c r="B199" t="s">
        <v>1761</v>
      </c>
      <c r="C199" s="2">
        <v>-0.57255630000000002</v>
      </c>
    </row>
    <row r="200" spans="1:3">
      <c r="A200" s="1" t="s">
        <v>2000</v>
      </c>
      <c r="B200" t="s">
        <v>1762</v>
      </c>
      <c r="C200" s="2">
        <v>0.81178620000000001</v>
      </c>
    </row>
    <row r="201" spans="1:3">
      <c r="A201" s="1" t="s">
        <v>2001</v>
      </c>
      <c r="B201" t="s">
        <v>1763</v>
      </c>
      <c r="C201" s="2">
        <v>-0.69222349999999999</v>
      </c>
    </row>
    <row r="202" spans="1:3">
      <c r="A202" s="1" t="s">
        <v>1764</v>
      </c>
      <c r="B202" t="s">
        <v>1765</v>
      </c>
      <c r="C202" s="2">
        <v>-0.40821990000000002</v>
      </c>
    </row>
    <row r="203" spans="1:3">
      <c r="A203" s="1" t="s">
        <v>2002</v>
      </c>
      <c r="B203" t="s">
        <v>1766</v>
      </c>
      <c r="C203" s="2">
        <v>-0.7862635</v>
      </c>
    </row>
    <row r="204" spans="1:3">
      <c r="A204" s="1" t="s">
        <v>2003</v>
      </c>
      <c r="B204" t="s">
        <v>1767</v>
      </c>
      <c r="C204" s="2">
        <v>2.0870489999999999</v>
      </c>
    </row>
    <row r="205" spans="1:3">
      <c r="A205" s="1" t="s">
        <v>2004</v>
      </c>
      <c r="B205" t="s">
        <v>1768</v>
      </c>
      <c r="C205" s="2">
        <v>0.26349820000000002</v>
      </c>
    </row>
    <row r="206" spans="1:3">
      <c r="A206" s="1" t="s">
        <v>2005</v>
      </c>
      <c r="B206" t="s">
        <v>1769</v>
      </c>
      <c r="C206" s="2">
        <v>0.65690870000000001</v>
      </c>
    </row>
    <row r="207" spans="1:3">
      <c r="A207" s="1" t="s">
        <v>2006</v>
      </c>
      <c r="B207" t="s">
        <v>1770</v>
      </c>
      <c r="C207" s="2">
        <v>1.6433770000000001</v>
      </c>
    </row>
    <row r="208" spans="1:3">
      <c r="A208" s="1" t="s">
        <v>2007</v>
      </c>
      <c r="B208" t="s">
        <v>1771</v>
      </c>
      <c r="C208" s="2">
        <v>1.7224950000000001</v>
      </c>
    </row>
    <row r="209" spans="1:3">
      <c r="A209" s="1" t="s">
        <v>2008</v>
      </c>
      <c r="B209" t="s">
        <v>1772</v>
      </c>
      <c r="C209" s="2">
        <v>0.4777574</v>
      </c>
    </row>
    <row r="210" spans="1:3">
      <c r="A210" s="1" t="s">
        <v>2009</v>
      </c>
      <c r="B210" t="s">
        <v>1773</v>
      </c>
      <c r="C210" s="2">
        <v>1.8772</v>
      </c>
    </row>
    <row r="211" spans="1:3">
      <c r="A211" s="1" t="s">
        <v>2010</v>
      </c>
      <c r="B211" t="s">
        <v>1774</v>
      </c>
      <c r="C211" s="2">
        <v>-9.5028199999999993E-2</v>
      </c>
    </row>
    <row r="212" spans="1:3">
      <c r="A212" s="1" t="s">
        <v>2011</v>
      </c>
      <c r="B212" t="s">
        <v>1775</v>
      </c>
      <c r="C212" s="2">
        <v>-0.77251700000000001</v>
      </c>
    </row>
    <row r="213" spans="1:3">
      <c r="A213" s="1" t="s">
        <v>2012</v>
      </c>
      <c r="B213" t="s">
        <v>1776</v>
      </c>
      <c r="C213" s="2">
        <v>-0.10606790000000001</v>
      </c>
    </row>
    <row r="214" spans="1:3">
      <c r="A214" s="1" t="s">
        <v>2013</v>
      </c>
      <c r="B214" t="s">
        <v>1777</v>
      </c>
      <c r="C214" s="2">
        <v>-0.62654750000000003</v>
      </c>
    </row>
    <row r="215" spans="1:3">
      <c r="A215" s="1" t="s">
        <v>2014</v>
      </c>
      <c r="B215" t="s">
        <v>1778</v>
      </c>
      <c r="C215" s="2">
        <v>0.58229430000000004</v>
      </c>
    </row>
    <row r="216" spans="1:3">
      <c r="A216" s="1" t="s">
        <v>2015</v>
      </c>
      <c r="B216" t="s">
        <v>1779</v>
      </c>
      <c r="C216" s="2">
        <v>-1.034116</v>
      </c>
    </row>
    <row r="217" spans="1:3">
      <c r="A217" s="1" t="s">
        <v>2016</v>
      </c>
      <c r="B217" t="s">
        <v>1780</v>
      </c>
      <c r="C217" s="2">
        <v>0.1217256</v>
      </c>
    </row>
    <row r="218" spans="1:3">
      <c r="A218" s="1" t="s">
        <v>2017</v>
      </c>
      <c r="B218" t="s">
        <v>1781</v>
      </c>
      <c r="C218" s="2">
        <v>-1.73983</v>
      </c>
    </row>
    <row r="219" spans="1:3">
      <c r="A219" s="1" t="s">
        <v>2018</v>
      </c>
      <c r="B219" t="s">
        <v>1782</v>
      </c>
      <c r="C219" s="2">
        <v>-0.82503539999999997</v>
      </c>
    </row>
    <row r="220" spans="1:3">
      <c r="A220" s="1" t="s">
        <v>2019</v>
      </c>
      <c r="B220" t="s">
        <v>1783</v>
      </c>
      <c r="C220" s="2">
        <v>-1.6147279999999999</v>
      </c>
    </row>
    <row r="221" spans="1:3">
      <c r="A221" s="1" t="s">
        <v>2020</v>
      </c>
      <c r="B221" t="s">
        <v>1784</v>
      </c>
      <c r="C221" s="2">
        <v>-1.1211279999999999</v>
      </c>
    </row>
    <row r="222" spans="1:3">
      <c r="A222" s="1" t="s">
        <v>2021</v>
      </c>
      <c r="B222" t="s">
        <v>1785</v>
      </c>
      <c r="C222" s="2">
        <v>-1.0591330000000001</v>
      </c>
    </row>
    <row r="223" spans="1:3">
      <c r="A223" s="1" t="s">
        <v>2022</v>
      </c>
      <c r="B223" t="s">
        <v>1786</v>
      </c>
      <c r="C223" s="2">
        <v>-0.79243699999999995</v>
      </c>
    </row>
    <row r="224" spans="1:3">
      <c r="A224" s="1" t="s">
        <v>2023</v>
      </c>
      <c r="B224" t="s">
        <v>1787</v>
      </c>
      <c r="C224" s="2">
        <v>-1.2035370000000001</v>
      </c>
    </row>
    <row r="225" spans="1:3">
      <c r="A225" s="1" t="s">
        <v>2024</v>
      </c>
      <c r="B225" t="s">
        <v>1788</v>
      </c>
      <c r="C225" s="2">
        <v>-0.52645330000000001</v>
      </c>
    </row>
    <row r="226" spans="1:3">
      <c r="A226" s="1" t="s">
        <v>2025</v>
      </c>
      <c r="B226" t="s">
        <v>1789</v>
      </c>
      <c r="C226" s="2">
        <v>-1.112581</v>
      </c>
    </row>
    <row r="227" spans="1:3">
      <c r="A227" s="1" t="s">
        <v>2026</v>
      </c>
      <c r="B227" t="s">
        <v>1790</v>
      </c>
      <c r="C227" s="2">
        <v>0.50759149999999997</v>
      </c>
    </row>
    <row r="228" spans="1:3">
      <c r="A228" s="1" t="s">
        <v>2027</v>
      </c>
      <c r="B228" t="s">
        <v>1791</v>
      </c>
      <c r="C228" s="2">
        <v>-0.79982379999999997</v>
      </c>
    </row>
    <row r="229" spans="1:3">
      <c r="A229" s="1" t="s">
        <v>2028</v>
      </c>
      <c r="B229" t="s">
        <v>1792</v>
      </c>
      <c r="C229" s="2">
        <v>-1.210906</v>
      </c>
    </row>
    <row r="230" spans="1:3">
      <c r="A230" s="1" t="s">
        <v>2029</v>
      </c>
      <c r="B230" t="s">
        <v>1793</v>
      </c>
      <c r="C230" s="2">
        <v>-1.238002</v>
      </c>
    </row>
    <row r="231" spans="1:3">
      <c r="A231" s="1" t="s">
        <v>2030</v>
      </c>
      <c r="B231" t="s">
        <v>1794</v>
      </c>
      <c r="C231" s="2">
        <v>-0.25942460000000001</v>
      </c>
    </row>
    <row r="232" spans="1:3">
      <c r="A232" s="1" t="s">
        <v>2031</v>
      </c>
      <c r="B232" t="s">
        <v>1795</v>
      </c>
      <c r="C232" s="2">
        <v>-0.59101800000000004</v>
      </c>
    </row>
    <row r="233" spans="1:3">
      <c r="A233" s="1" t="s">
        <v>2032</v>
      </c>
      <c r="B233" t="s">
        <v>1796</v>
      </c>
      <c r="C233" s="2">
        <v>0.58830979999999999</v>
      </c>
    </row>
    <row r="234" spans="1:3">
      <c r="A234" s="1" t="s">
        <v>2033</v>
      </c>
      <c r="B234" t="s">
        <v>1797</v>
      </c>
      <c r="C234" s="2">
        <v>-5.8056700000000003E-2</v>
      </c>
    </row>
    <row r="235" spans="1:3">
      <c r="A235" s="1" t="s">
        <v>2034</v>
      </c>
      <c r="B235" t="s">
        <v>1798</v>
      </c>
      <c r="C235" s="2">
        <v>-0.65662069999999995</v>
      </c>
    </row>
    <row r="236" spans="1:3">
      <c r="A236" s="1" t="s">
        <v>2035</v>
      </c>
      <c r="B236" t="s">
        <v>1799</v>
      </c>
      <c r="C236" s="2">
        <v>1.2662580000000001</v>
      </c>
    </row>
    <row r="237" spans="1:3">
      <c r="A237" s="1" t="s">
        <v>2036</v>
      </c>
      <c r="B237" t="s">
        <v>1800</v>
      </c>
      <c r="C237" s="2">
        <v>-0.297176</v>
      </c>
    </row>
    <row r="238" spans="1:3">
      <c r="A238" s="1" t="s">
        <v>2037</v>
      </c>
      <c r="B238" t="s">
        <v>1801</v>
      </c>
      <c r="C238" s="2">
        <v>1.3305039999999999</v>
      </c>
    </row>
    <row r="239" spans="1:3">
      <c r="A239" s="1" t="s">
        <v>2038</v>
      </c>
      <c r="B239" t="s">
        <v>1802</v>
      </c>
      <c r="C239" s="2">
        <v>2.0526070000000001</v>
      </c>
    </row>
    <row r="240" spans="1:3">
      <c r="A240" s="1" t="s">
        <v>2039</v>
      </c>
      <c r="B240" t="s">
        <v>1803</v>
      </c>
      <c r="C240" s="2">
        <v>0.27009300000000003</v>
      </c>
    </row>
    <row r="241" spans="1:3">
      <c r="A241" s="1" t="s">
        <v>2040</v>
      </c>
      <c r="B241" t="s">
        <v>1804</v>
      </c>
      <c r="C241" s="2">
        <v>-0.1658452</v>
      </c>
    </row>
    <row r="242" spans="1:3">
      <c r="A242" s="1" t="s">
        <v>2041</v>
      </c>
      <c r="B242" t="s">
        <v>1805</v>
      </c>
      <c r="C242" s="2">
        <v>-0.35340260000000001</v>
      </c>
    </row>
    <row r="243" spans="1:3">
      <c r="A243" s="1" t="s">
        <v>2042</v>
      </c>
      <c r="B243" t="s">
        <v>1806</v>
      </c>
      <c r="C243" s="2">
        <v>-0.20261989999999999</v>
      </c>
    </row>
    <row r="244" spans="1:3">
      <c r="A244" s="1" t="s">
        <v>2043</v>
      </c>
      <c r="B244" t="s">
        <v>1807</v>
      </c>
      <c r="C244" s="2">
        <v>0.96303930000000004</v>
      </c>
    </row>
    <row r="245" spans="1:3">
      <c r="A245" s="1" t="s">
        <v>2044</v>
      </c>
      <c r="B245" t="s">
        <v>1808</v>
      </c>
      <c r="C245" s="2">
        <v>-1.134037</v>
      </c>
    </row>
    <row r="246" spans="1:3">
      <c r="A246" s="1" t="s">
        <v>2045</v>
      </c>
      <c r="B246" t="s">
        <v>1809</v>
      </c>
      <c r="C246" s="2">
        <v>3.1375500000000001E-2</v>
      </c>
    </row>
    <row r="247" spans="1:3">
      <c r="A247" s="1" t="s">
        <v>2046</v>
      </c>
      <c r="B247" t="s">
        <v>1810</v>
      </c>
      <c r="C247" s="2">
        <v>2.0172409999999998</v>
      </c>
    </row>
    <row r="248" spans="1:3">
      <c r="A248" s="1" t="s">
        <v>2047</v>
      </c>
      <c r="B248" t="s">
        <v>1811</v>
      </c>
      <c r="C248" s="2">
        <v>-0.1022941</v>
      </c>
    </row>
    <row r="249" spans="1:3">
      <c r="A249" s="1" t="s">
        <v>2048</v>
      </c>
      <c r="B249" t="s">
        <v>1812</v>
      </c>
      <c r="C249" s="2">
        <v>0.64486410000000005</v>
      </c>
    </row>
    <row r="250" spans="1:3">
      <c r="A250" s="1" t="s">
        <v>2049</v>
      </c>
      <c r="B250" t="s">
        <v>1813</v>
      </c>
      <c r="C250" s="2">
        <v>-0.651397</v>
      </c>
    </row>
    <row r="251" spans="1:3">
      <c r="A251" s="1" t="s">
        <v>2050</v>
      </c>
      <c r="B251" t="s">
        <v>1814</v>
      </c>
      <c r="C251" s="2">
        <v>0.56980050000000004</v>
      </c>
    </row>
  </sheetData>
  <conditionalFormatting sqref="A2:A251">
    <cfRule type="duplicateValues" dxfId="3" priority="1"/>
  </conditionalFormatting>
  <pageMargins left="0.7" right="0.7" top="0.75" bottom="0.75" header="0.3" footer="0.3"/>
  <ignoredErrors>
    <ignoredError sqref="A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6A1D9-69E6-4CAB-9CA9-3DFC2BBB3A59}">
  <dimension ref="A1:B5"/>
  <sheetViews>
    <sheetView workbookViewId="0">
      <selection activeCell="B7" sqref="B7"/>
    </sheetView>
  </sheetViews>
  <sheetFormatPr defaultRowHeight="14.4"/>
  <cols>
    <col min="1" max="1" width="14.6640625" bestFit="1" customWidth="1"/>
    <col min="2" max="2" width="22.88671875" bestFit="1" customWidth="1"/>
  </cols>
  <sheetData>
    <row r="1" spans="1:2">
      <c r="A1" t="s">
        <v>2059</v>
      </c>
      <c r="B1" t="s">
        <v>2060</v>
      </c>
    </row>
    <row r="2" spans="1:2">
      <c r="A2" t="s">
        <v>1548</v>
      </c>
      <c r="B2" cm="1">
        <f t="array" ref="B2">SUMPRODUCT(--(LEN('LM AIOE'!A2:A775)&lt;&gt;LEN(TRIM('LM AIOE'!A2:A775))))</f>
        <v>0</v>
      </c>
    </row>
    <row r="3" spans="1:2">
      <c r="A3" t="s">
        <v>1549</v>
      </c>
      <c r="B3" cm="1">
        <f t="array" ref="B3">SUMPRODUCT(--(LEN('LM AIOE'!B2:B775)&lt;&gt;LEN(TRIM('LM AIOE'!B2:B775))))</f>
        <v>0</v>
      </c>
    </row>
    <row r="4" spans="1:2">
      <c r="A4" t="s">
        <v>2051</v>
      </c>
      <c r="B4" s="4" cm="1">
        <f t="array" ref="B4">SUMPRODUCT(--(LEN('LM AIIE'!A2:A251)&lt;&gt;LEN(TRIM('LM AIIE'!A2:A251))))</f>
        <v>0</v>
      </c>
    </row>
    <row r="5" spans="1:2">
      <c r="A5" t="s">
        <v>2052</v>
      </c>
      <c r="B5" cm="1">
        <f t="array" ref="B5">SUMPRODUCT(--(LEN('LM AIIE'!B2:B251)&lt;&gt;LEN(TRIM('LM AIIE'!B2:B251))))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LM AIOE</vt:lpstr>
      <vt:lpstr>LM AIIE</vt:lpstr>
      <vt:lpstr>QC_Checks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Raj, Manav</dc:creator>
  <cp:lastModifiedBy>Harshitha Singu</cp:lastModifiedBy>
  <dcterms:created xsi:type="dcterms:W3CDTF">2023-03-07T14:26:31Z</dcterms:created>
  <dcterms:modified xsi:type="dcterms:W3CDTF">2026-10-16T13:37:59Z</dcterms:modified>
</cp:coreProperties>
</file>